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6.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EstaPastaDeTrabalho" hidePivotFieldList="1" defaultThemeVersion="202300"/>
  <mc:AlternateContent xmlns:mc="http://schemas.openxmlformats.org/markup-compatibility/2006">
    <mc:Choice Requires="x15">
      <x15ac:absPath xmlns:x15ac="http://schemas.microsoft.com/office/spreadsheetml/2010/11/ac" url="https://d.docs.live.net/6de5b21cadca17f7/Documentos/__Mestrado/_arquivos TESE/Planejamento produção/Publicação artigo 1/"/>
    </mc:Choice>
  </mc:AlternateContent>
  <xr:revisionPtr revIDLastSave="0" documentId="8_{24C5D598-B491-4AC0-A4B8-B81F38B701B0}" xr6:coauthVersionLast="47" xr6:coauthVersionMax="47" xr10:uidLastSave="{00000000-0000-0000-0000-000000000000}"/>
  <bookViews>
    <workbookView xWindow="-120" yWindow="-120" windowWidth="20730" windowHeight="11040" xr2:uid="{32AD38DF-F4E6-42D4-AA3D-8EEC9B852A4D}"/>
  </bookViews>
  <sheets>
    <sheet name="Base Artigos" sheetId="1" r:id="rId1"/>
    <sheet name="Exclusão de duplicados" sheetId="3" r:id="rId2"/>
    <sheet name="Siglas" sheetId="25" r:id="rId3"/>
    <sheet name="Publicações por ano" sheetId="6" r:id="rId4"/>
    <sheet name="Publicações país pesquisadores" sheetId="18" r:id="rId5"/>
    <sheet name="Publicações país aplicação" sheetId="16" r:id="rId6"/>
    <sheet name="Análise" sheetId="19" state="hidden" r:id="rId7"/>
    <sheet name="Publicações Autor" sheetId="13" r:id="rId8"/>
    <sheet name="Qtde Citações" sheetId="14" state="hidden" r:id="rId9"/>
  </sheets>
  <definedNames>
    <definedName name="_xlnm._FilterDatabase" localSheetId="6" hidden="1">Análise!$A$1:$R$27</definedName>
    <definedName name="_xlnm._FilterDatabase" localSheetId="0" hidden="1">'Base Artigos'!$A$1:$T$37</definedName>
    <definedName name="_xlnm._FilterDatabase" localSheetId="1" hidden="1">'Exclusão de duplicados'!$A$1:$B$28</definedName>
    <definedName name="_xlnm._FilterDatabase" localSheetId="7" hidden="1">'Publicações Autor'!#REF!</definedName>
  </definedNames>
  <calcPr calcId="191029"/>
  <pivotCaches>
    <pivotCache cacheId="0" r:id="rId10"/>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6" l="1"/>
  <c r="B6" i="16"/>
  <c r="B5" i="16"/>
  <c r="B4" i="16"/>
  <c r="B3" i="16"/>
  <c r="B2" i="16"/>
  <c r="C10" i="18"/>
  <c r="C11" i="18"/>
  <c r="C9" i="18"/>
  <c r="C8" i="18"/>
  <c r="C7" i="18"/>
  <c r="C6" i="18"/>
  <c r="C5" i="18"/>
  <c r="C4" i="18"/>
  <c r="C3" i="18"/>
  <c r="C2" i="18"/>
  <c r="B11" i="18"/>
  <c r="B10" i="18"/>
  <c r="B9" i="18"/>
  <c r="B8" i="18"/>
  <c r="B7" i="18"/>
  <c r="B6" i="18"/>
  <c r="B5" i="18"/>
  <c r="B4" i="18"/>
  <c r="B3" i="18"/>
  <c r="B2" i="18"/>
  <c r="B17" i="6"/>
  <c r="B16" i="6"/>
  <c r="B15" i="6"/>
  <c r="B14" i="6"/>
  <c r="B13" i="6"/>
  <c r="B12" i="6"/>
  <c r="B11" i="6"/>
  <c r="B10" i="6"/>
  <c r="B9" i="6"/>
  <c r="B8" i="6"/>
  <c r="B7" i="6"/>
  <c r="B6" i="6"/>
  <c r="B5" i="6"/>
  <c r="B4" i="6"/>
  <c r="B3" i="6"/>
  <c r="B2" i="6"/>
</calcChain>
</file>

<file path=xl/sharedStrings.xml><?xml version="1.0" encoding="utf-8"?>
<sst xmlns="http://schemas.openxmlformats.org/spreadsheetml/2006/main" count="1402" uniqueCount="654">
  <si>
    <t>Authors</t>
  </si>
  <si>
    <t>Title</t>
  </si>
  <si>
    <t>Título</t>
  </si>
  <si>
    <t>Classificação</t>
  </si>
  <si>
    <t>Year</t>
  </si>
  <si>
    <t>da Silva A.F.; Marins F.A.S.</t>
  </si>
  <si>
    <t>A Fuzzy Goal Programming model for solving aggregate production-planning problems under uncertainty: A case study in a Brazilian sugar mill</t>
  </si>
  <si>
    <t>A</t>
  </si>
  <si>
    <t>Aggregate production planning; Fuzzy goal programming; Goal programming; Sugar and ethanol mills</t>
  </si>
  <si>
    <t>Bhargava A.K.; Singh S.R.; Bansal D.</t>
  </si>
  <si>
    <t>Production planning using fuzzy meta-goal programming model</t>
  </si>
  <si>
    <t>Fuzzy goal programming; Fuzzy meta-goal programming method; Manufacturing plant; Meta goals; Production planning</t>
  </si>
  <si>
    <t>Saadati M.; Hosseininezhad S.J.</t>
  </si>
  <si>
    <t>Designing a hub location model in a bagasse-based bioethanol supply chain network in Iran (case study: Iran sugar industry)</t>
  </si>
  <si>
    <t>Bagasse; Bagasse-based bio-ethanol; Hub location model; Second-generation bioethanol</t>
  </si>
  <si>
    <t>de Paiva R.P.O.; Morabito R.</t>
  </si>
  <si>
    <t>Hierarchical production planning for sugarcane milling companies: Robust optimization model; [Planejamento hierárquico da produção em usinas de açúcar e álcool: Modelagem de otimização robusta]</t>
  </si>
  <si>
    <t>Aggregate production planning; Hierarchical production planning; Mixed integer linear programming; Robust optimization; Sugarcane mills; Uncertainty analysis</t>
  </si>
  <si>
    <t>A hierarchical supply chain model for the sugar–alcohol energy sector with robust optimization analysis</t>
  </si>
  <si>
    <t>hierarchical production planning; mixed-integer programming; robust optimization; sucroenergetic agroindustry; sugarcane; supply chain planning</t>
  </si>
  <si>
    <t>Modeling and solving a sugarcane harvest front scheduling problem</t>
  </si>
  <si>
    <t>Case study; Logistics scheduling; Optimization approach; Sugarcane harvest front; Sugarmills; Validation process</t>
  </si>
  <si>
    <t>Programming and scheduling sugarcane harvesting fronts: Model and solution methods for large-scale problems</t>
  </si>
  <si>
    <t>Mixed integer programming; Production lot sizing and scheduling; Relax-and-fix and fix-and-optimize heuristics; Sugarcane harvest programming</t>
  </si>
  <si>
    <t>Al Mohamed A.A.; Al Mohamed S.; Ahmad M.</t>
  </si>
  <si>
    <t>Solving aggregate production planning problem with uncertainty using fuzzy goal programming</t>
  </si>
  <si>
    <t>aggregate production planning; APP; FGP; fuzzy goal programming; fuzzy logic; goal programming; plastic industry</t>
  </si>
  <si>
    <t>Zimberg B.; Testuri C.E.</t>
  </si>
  <si>
    <t>Stochastic analysis of crude oil procurement and processing under uncertain demand for bunker fuel oil</t>
  </si>
  <si>
    <t>Production planning; Stochastic programming</t>
  </si>
  <si>
    <t>Gonçalves L.A.; Filho R.M.</t>
  </si>
  <si>
    <t>Alcohol production process modelling based on indicators using transactional software, industrial automation and manufacturing execution systems-MES</t>
  </si>
  <si>
    <t>Aggregate production planning; Integer optimization; Lot-sizing; Process selection; Sugar and alcohol mills</t>
  </si>
  <si>
    <t>An optimization model for the aggregate production planning of a Brazilian sugar and ethanol milling company</t>
  </si>
  <si>
    <t>Aggregate production planning; Mixed integer optimization; Process selection; Production lot-sizing; Sugar and ethanol mills</t>
  </si>
  <si>
    <t>Aggregate production planning; Hierarchical planning; Mixed integer linear optimization; Sugarcane mills</t>
  </si>
  <si>
    <t>Sharma P.K.; Romagnoli J.</t>
  </si>
  <si>
    <t>An integrated framework for enterprise management - A synergistic approach towards sustainable biorefineries</t>
  </si>
  <si>
    <t>Salawu E.Y.; Ajayi O.O.; Inegbenebor A.; Afolalu S.A.; Samson O.</t>
  </si>
  <si>
    <t>Pareto analysis of product quality failures and cost effects in bottling machines-a lean thinking solution for alcohol industry</t>
  </si>
  <si>
    <t>Bottling machines; Failures; Production; Reliability</t>
  </si>
  <si>
    <t>Poltroniere S.C.; Aliano Filho A.; Caversan A.S.; Balbo A.R.; Florentino H.D.O.</t>
  </si>
  <si>
    <t>Integrated planning for planting and harvesting sugarcane and energy-cane for the production of sucrose and energy</t>
  </si>
  <si>
    <t>Energy-cane; Fix-and-optimize; Mathematical optimization; Relax-and-fix; Sugarcane</t>
  </si>
  <si>
    <t>Kim S.; Kim S.</t>
  </si>
  <si>
    <t>Hybrid simulation framework for the production management of an ethanol biorefinery</t>
  </si>
  <si>
    <t>Daraei M.; Avelin A.; Dotzauer E.; Thorin E.</t>
  </si>
  <si>
    <t>Evaluation of biofuel production integrated with existing CHP plants and the impacts on production planning of the system – A case study</t>
  </si>
  <si>
    <t>Electric vehicles; Energy systems; Mixed Integer Linear Programming; Optimization; Straw-based bioethanol; Transportation sector</t>
  </si>
  <si>
    <t>Rogowska D.</t>
  </si>
  <si>
    <t>Vapour pressure of butanol as a component of gasoline; [Prężność par butanolu jako komponentu benzyn silnikowych]</t>
  </si>
  <si>
    <t>Biobuthanol; E10 gasoline; Vapour pressure blending numbers</t>
  </si>
  <si>
    <t>Hafezi N.; Sheikhdavoodi M.J.; Bahrami H.; Alavi S.E.</t>
  </si>
  <si>
    <t>Optimization of Harvesting Priority of Sugarcane Farms by the Generalized Assignment Problem</t>
  </si>
  <si>
    <t>Harvesting time optimization; Mixed integer programming; Neuro-fuzzy inference system; Sugarcane</t>
  </si>
  <si>
    <t>Optimization approaches for sugarcane harvest front programming and scheduling</t>
  </si>
  <si>
    <t>Lot sizing and scheduling; Mixed integer programming; Programming and scheduling of harvest fronts; Sugarcane harvesting planning</t>
  </si>
  <si>
    <t>Kantas A.B.; Cobuloglu H.I.; Büyüktahtakn I.E.</t>
  </si>
  <si>
    <t>Multi-source capacitated lot-sizing for economically viable and clean biofuel production</t>
  </si>
  <si>
    <t>C</t>
  </si>
  <si>
    <t>Biofuel; CO2 emissions; Mixed-integer; optimization; Production planning; Sustainability; Water usage</t>
  </si>
  <si>
    <t>Corsano G.; Fumero Y.; Montagna J.M.</t>
  </si>
  <si>
    <t>Integrated decision making for the optimal bioethanol supply chain</t>
  </si>
  <si>
    <t>Bioethanol production; Plant design; Production planning; Supply chain</t>
  </si>
  <si>
    <t>You F.; Tao L.; Graziano D.J.; Snyder S.W.</t>
  </si>
  <si>
    <t>Optimal design of sustainable cellulosic biofuel supply chains: Multiobjective optimization coupled with life cycle assessment and input-output analysis</t>
  </si>
  <si>
    <t>Biofuel supply chain; Input-output analysis; Life cycle analysis; Multiobjective optimization; Planning; Sustainability</t>
  </si>
  <si>
    <t>Aliano Filho A.; Melo T.; Pato M.V.</t>
  </si>
  <si>
    <t>A bi-objective mathematical model for integrated planning of sugarcane harvesting and transport operations</t>
  </si>
  <si>
    <t>Integrated sugarcane harvesting and transport planning; Mixed-integer programming; Multi-objective optimization</t>
  </si>
  <si>
    <t>Stochastic robust optimization model applied to the aggregate production planning in mill cooperative socities in the sugar-energy sector; [Programação estocástica robusta aplicada ao planejamento agregado de safra em usinas cooperadas do setor sucroenergético]</t>
  </si>
  <si>
    <t>Aggregate production planning; Hierarchical planning; Stochastic robust programming; Sugarcane mills; Uncertainty analysis</t>
  </si>
  <si>
    <t>Li X.; Lu S.; Li Z.; Wang Y.; Zhu L.</t>
  </si>
  <si>
    <t>Modeling and optimization of bioethanol production planning under hybrid uncertainty: A heuristic multi-stage stochastic programming approach</t>
  </si>
  <si>
    <t>Bioethanol plant; Heuristic decomposition; Hybrid uncertainty; Mixed multi-stage optimization; Production planning</t>
  </si>
  <si>
    <t>Machado R.L.; Abreu M.R.</t>
  </si>
  <si>
    <t>Multi-objective optimization of the first and second-generation ethanol supply chain in Brazil using the water-energy-food-land nexus approach</t>
  </si>
  <si>
    <t>Analytic hierarchy process; Biofuel supply chain; Ethanol; MILP; Sustainable development goal 7; Water-energy-food-land nexus</t>
  </si>
  <si>
    <t>Goharimanesh M.; Lashkaripour A.; Akbari A.A.</t>
  </si>
  <si>
    <t>Optimization of biodiesel production using multi-objective genetic algorithm</t>
  </si>
  <si>
    <t>Biodiesel; Fuel; Genetic algorithm; Methyl ester; Optimization; Triglycerides</t>
  </si>
  <si>
    <t>Corsano G.; Aguirre P.A.; Montagna J.M.</t>
  </si>
  <si>
    <t>Multiperiod design and planning of multiproduct batch plants with mixed-product campaigns</t>
  </si>
  <si>
    <t>Batch plant design; MINLP; Mixed-product campaigns; Multiperiod model; Production planning</t>
  </si>
  <si>
    <t>Awudu I.; Zhang J.</t>
  </si>
  <si>
    <t>Stochastic production planning for a biofuel supply chain under demand and price uncertainties</t>
  </si>
  <si>
    <t>Benders decomposition; Biofuel supply chain; Monte Carlo simulation; Stochastic programming</t>
  </si>
  <si>
    <t>Blanco A.M.; Susana Moreno M.; Taraborelli C.; D'Angelo F.; Iturmendi F.; Alberto Bandoni J.</t>
  </si>
  <si>
    <t>Model-based decision support tools at Jugos S.A. concentrated fruit juice plant</t>
  </si>
  <si>
    <t>Batch scheduling; Concentrated fruit juice; Decision making; Mixed-integer nonlinear programming; Production planning</t>
  </si>
  <si>
    <t>Aguayo M.M.; Sarin S.C.; Cundiff J.S.</t>
  </si>
  <si>
    <t>A branch-and-price approach for a biomass feedstock logistics supply chain design problem</t>
  </si>
  <si>
    <t>biomass logistics; branch-and-price; Cellulosic ethanol; facility location; lot-sizing</t>
  </si>
  <si>
    <t>Sudtachat K.</t>
  </si>
  <si>
    <t>A two-stage stochastic programming model for districting and transportation lot-size of sugarcane</t>
  </si>
  <si>
    <t>Districting problem; Lot sizing problem; Sugarcane; Two-stage stochastic programming model</t>
  </si>
  <si>
    <t>Li X.; Jin X.; Lu S.; Li Z.; Wang Y.; Cao J.</t>
  </si>
  <si>
    <t>Carbon-efficient production scheduling of a bioethanol plant considering diversified feedstock pelletization density: A case study</t>
  </si>
  <si>
    <t>Bioethanol plant; Carbon emission; Dual-objective optimization; Scheduling</t>
  </si>
  <si>
    <t>Multi-choice mixed integer goal programming optimization for real problems in a sugar and ethanol milling company</t>
  </si>
  <si>
    <t>Aggregate production planning; Goal programming; Multi- Choice mixed integer goal programming; Multi-choice aspiration levels; Sugar and ethanol mills</t>
  </si>
  <si>
    <t>Plangsrisakul K.; Somboonwiwat T.; Khompatraporn C.</t>
  </si>
  <si>
    <t>Make-to-order production planning with seasonal supply in canned pineapple industry</t>
  </si>
  <si>
    <t>Canned pineapple industry; Make-to-order inventory; Multi-products multi-periods production planning; Pineapple color ratios; Seasonal raw materials</t>
  </si>
  <si>
    <t>Albernas-Carvajal Y.; Corsano G.; González Cortés M.; González Suárez E.</t>
  </si>
  <si>
    <t>Preliminary design for simultaneous saccharification and fermentation stages for ethanol production from sugar cane bagasse</t>
  </si>
  <si>
    <t>Batch design; Lignocellulosic ethanol; Optimization; Simultaneous saccharification and fermentation</t>
  </si>
  <si>
    <t>Optimization of the hierarchical production planning of a cooperative society of sugarcane milling companies</t>
  </si>
  <si>
    <t>An optimization model for the aggregate production planning in alcohol and sugar mills</t>
  </si>
  <si>
    <t>DOI</t>
  </si>
  <si>
    <t>10.1007/s10479-008-0428-9</t>
  </si>
  <si>
    <t>10.1016/j.apm.2012.12.022</t>
  </si>
  <si>
    <t>10.1016/j.eneco.2014.07.005</t>
  </si>
  <si>
    <t>10.1016/j.compag.2020.105956</t>
  </si>
  <si>
    <t>10.1007/s12355-023-01336-2</t>
  </si>
  <si>
    <t>10.1016/j.cor.2021.105419</t>
  </si>
  <si>
    <t>10.1111/itor.12909</t>
  </si>
  <si>
    <t>10.1016/j.jclepro.2015.02.001</t>
  </si>
  <si>
    <t>10.1016/j.cherd.2017.08.029</t>
  </si>
  <si>
    <t>10.1016/j.rser.2024.114299</t>
  </si>
  <si>
    <t>10.1016/j.apenergy.2012.09.025</t>
  </si>
  <si>
    <t>10.1016/j.rser.2021.111911</t>
  </si>
  <si>
    <t>10.1016/j.biombioe.2019.01.013</t>
  </si>
  <si>
    <t>10.1016/j.enconman.2014.04.090</t>
  </si>
  <si>
    <t>10.1002/aic.12637</t>
  </si>
  <si>
    <t>10.3303/CET1332222</t>
  </si>
  <si>
    <t>Vapour pressure of butanol as a component of gasoline</t>
  </si>
  <si>
    <t>10.18668/NG.2020.05.07</t>
  </si>
  <si>
    <t>D</t>
  </si>
  <si>
    <t>Stochastic robust optimization model applied to the aggregate production planning in mill cooperative socities in the sugar-energy sector</t>
  </si>
  <si>
    <t>B *C</t>
  </si>
  <si>
    <t>Rótulos de Linha</t>
  </si>
  <si>
    <t>Total Geral</t>
  </si>
  <si>
    <t>Link</t>
  </si>
  <si>
    <t>Energy Economics</t>
  </si>
  <si>
    <t>https://www.scopus.com/inward/record.uri?eid=2-s2.0-84907853897&amp;doi=10.1016%2fj.eneco.2014.07.005&amp;partnerID=40&amp;md5=b6cb58527aec159e6fa6e141369652a7</t>
  </si>
  <si>
    <t>Proceedings of the International Conference on Industrial Engineering and Operations Management</t>
  </si>
  <si>
    <t>Indian Journal of Science and Technology</t>
  </si>
  <si>
    <t>10.17485/ijst/2015/v8i34/70706</t>
  </si>
  <si>
    <t>https://www.scopus.com/inward/record.uri?eid=2-s2.0-85000788450&amp;doi=10.17485%2fijst%2f2015%2fv8i34%2f70706&amp;partnerID=40&amp;md5=2f30ba6813f122828ee598fd5f54d614</t>
  </si>
  <si>
    <t>Biomass and Bioenergy</t>
  </si>
  <si>
    <t>https://www.scopus.com/inward/record.uri?eid=2-s2.0-85061054948&amp;doi=10.1016%2fj.biombioe.2019.01.013&amp;partnerID=40&amp;md5=41d1fc458d170af3a2034fb3fc7fc0de</t>
  </si>
  <si>
    <t>10.1590/S0103-65132013005000032</t>
  </si>
  <si>
    <t>https://www.scopus.com/inward/record.uri?eid=2-s2.0-84905180400&amp;doi=10.1590%2fS0103-65132013005000032&amp;partnerID=40&amp;md5=11fdc50c66ee89ce72213dd34c6ce6ec</t>
  </si>
  <si>
    <t>International Transactions in Operational Research</t>
  </si>
  <si>
    <t>https://www.scopus.com/inward/record.uri?eid=2-s2.0-85096878415&amp;doi=10.1111%2fitor.12909&amp;partnerID=40&amp;md5=f838f5685e6d8194fa58d6a2b2db6313</t>
  </si>
  <si>
    <t>International Journal of Production Economics</t>
  </si>
  <si>
    <t>10.1016/j.ijpe.2019.03.009</t>
  </si>
  <si>
    <t>https://www.scopus.com/inward/record.uri?eid=2-s2.0-85063589946&amp;doi=10.1016%2fj.ijpe.2019.03.009&amp;partnerID=40&amp;md5=a12806fadb0be0553f1b9d0e75d81354</t>
  </si>
  <si>
    <t>Gestao e Producao</t>
  </si>
  <si>
    <t>10.1590/0104-530X2647-16</t>
  </si>
  <si>
    <t>https://www.scopus.com/inward/record.uri?eid=2-s2.0-85045447528&amp;doi=10.1590%2f0104-530X2647-16&amp;partnerID=40&amp;md5=b5fd1133a34f9a34589e2d5ffaafcd40</t>
  </si>
  <si>
    <t>International Journal of Mathematics in Operational Research</t>
  </si>
  <si>
    <t>10.1504/IJMOR.2023.132838</t>
  </si>
  <si>
    <t>https://www.scopus.com/inward/record.uri?eid=2-s2.0-85170406640&amp;doi=10.1504%2fIJMOR.2023.132838&amp;partnerID=40&amp;md5=4912897a496be357a18091b25c770ea4</t>
  </si>
  <si>
    <t>10.1111/j.1475-3995.2006.00554.x</t>
  </si>
  <si>
    <t>https://www.scopus.com/inward/record.uri?eid=2-s2.0-63849134995&amp;doi=10.1111%2fj.1475-3995.2006.00554.x&amp;partnerID=40&amp;md5=b658073b1c7d573894a924e1ab1dbefb</t>
  </si>
  <si>
    <t>Chemical Engineering Transactions</t>
  </si>
  <si>
    <t>https://www.scopus.com/inward/record.uri?eid=2-s2.0-84879229989&amp;doi=10.3303%2fCET1332222&amp;partnerID=40&amp;md5=f03c097971ec344c671af2d300907faf</t>
  </si>
  <si>
    <t>An optimization model for the aggregate production planning in alcohol and sugar mills; [Um modelo de otimização para o planejamento agregado da produção em usinas de açúcar e álcool]</t>
  </si>
  <si>
    <t>10.1590/s0104-530x2007000100004</t>
  </si>
  <si>
    <t>https://www.scopus.com/inward/record.uri?eid=2-s2.0-34547371168&amp;doi=10.1590%2fs0104-530x2007000100004&amp;partnerID=40&amp;md5=27f18fb49bfbcfa7f8242dfa7066497e</t>
  </si>
  <si>
    <t>Annals of Operations Research</t>
  </si>
  <si>
    <t>https://www.scopus.com/inward/record.uri?eid=2-s2.0-64149125605&amp;doi=10.1007%2fs10479-008-0428-9&amp;partnerID=40&amp;md5=7548dd3f373362d52f20ba43531f8c91</t>
  </si>
  <si>
    <t>Optimization of the hierarchical production planning of a cooperative society of sugarcane milling companies; [Otimização do planejamento hierárquico da produção em usinas cooperadas do setor sucroenergético]</t>
  </si>
  <si>
    <t>10.1590/S0103-65132012005000077</t>
  </si>
  <si>
    <t>https://www.scopus.com/inward/record.uri?eid=2-s2.0-84886552472&amp;doi=10.1590%2fS0103-65132012005000077&amp;partnerID=40&amp;md5=f5b753a9bd3304102bb0cd8145474047</t>
  </si>
  <si>
    <t>10AIChE - 2010 AIChE Spring Meeting and 6th Global Congress on Process Safety</t>
  </si>
  <si>
    <t>https://www.scopus.com/inward/record.uri?eid=2-s2.0-77956004249&amp;partnerID=40&amp;md5=ebb5e6bb64ce9631d288b4fb18e71d7a</t>
  </si>
  <si>
    <t>International Journal of Mechanical Engineering and Technology</t>
  </si>
  <si>
    <t>https://www.scopus.com/inward/record.uri?eid=2-s2.0-85060438668&amp;partnerID=40&amp;md5=40baab08168cb888852ba5905b7aa4e8</t>
  </si>
  <si>
    <t>Computers and Electronics in Agriculture</t>
  </si>
  <si>
    <t>https://www.scopus.com/inward/record.uri?eid=2-s2.0-85102558107&amp;doi=10.1016%2fj.compag.2020.105956&amp;partnerID=40&amp;md5=e341dc723c32bf132c339236564e6513</t>
  </si>
  <si>
    <t>Renewable and Sustainable Energy Reviews</t>
  </si>
  <si>
    <t>https://www.scopus.com/inward/record.uri?eid=2-s2.0-85119432925&amp;doi=10.1016%2fj.rser.2021.111911&amp;partnerID=40&amp;md5=1a15026c6c014b2223443a4f97c6f886</t>
  </si>
  <si>
    <t>Applied Energy</t>
  </si>
  <si>
    <t>10.1016/j.apenergy.2019.113461</t>
  </si>
  <si>
    <t>https://www.scopus.com/inward/record.uri?eid=2-s2.0-85067284871&amp;doi=10.1016%2fj.apenergy.2019.113461&amp;partnerID=40&amp;md5=96cc4ade59bcab2e1b1269098411e77c</t>
  </si>
  <si>
    <t>Nafta - Gaz</t>
  </si>
  <si>
    <t>https://www.scopus.com/inward/record.uri?eid=2-s2.0-85118885278&amp;doi=10.18668%2fNG.2020.05.07&amp;partnerID=40&amp;md5=ed5554e5861014ff590ab50bd9961aea</t>
  </si>
  <si>
    <t>Sugar Tech</t>
  </si>
  <si>
    <t>https://www.scopus.com/inward/record.uri?eid=2-s2.0-85180642228&amp;doi=10.1007%2fs12355-023-01336-2&amp;partnerID=40&amp;md5=613bd353d7aa58e5ca53c386c2cee26f</t>
  </si>
  <si>
    <t>10.1590/0104-530X1882-16</t>
  </si>
  <si>
    <t>https://www.scopus.com/inward/record.uri?eid=2-s2.0-85025139132&amp;doi=10.1590%2f0104-530X1882-16&amp;partnerID=40&amp;md5=db90ddf501543c3f83096068037a53e3</t>
  </si>
  <si>
    <t>Journal of Cleaner Production</t>
  </si>
  <si>
    <t>https://www.scopus.com/inward/record.uri?eid=2-s2.0-84928768228&amp;doi=10.1016%2fj.jclepro.2015.02.001&amp;partnerID=40&amp;md5=15fc26072e55b1570a5109d825726e84</t>
  </si>
  <si>
    <t>Energy Conversion and Management</t>
  </si>
  <si>
    <t>https://www.scopus.com/inward/record.uri?eid=2-s2.0-84910075619&amp;doi=10.1016%2fj.enconman.2014.04.090&amp;partnerID=40&amp;md5=a1d95054598a77fc254a92826334e881</t>
  </si>
  <si>
    <t>AIChE Journal</t>
  </si>
  <si>
    <t>https://www.scopus.com/inward/record.uri?eid=2-s2.0-80052359753&amp;doi=10.1002%2faic.12637&amp;partnerID=40&amp;md5=5750c8e9fda0ae83c38a59510192ad22</t>
  </si>
  <si>
    <t>Computers and Operations Research</t>
  </si>
  <si>
    <t>https://www.scopus.com/inward/record.uri?eid=2-s2.0-85107960409&amp;doi=10.1016%2fj.cor.2021.105419&amp;partnerID=40&amp;md5=382589458131fe6684852de077af5cfd</t>
  </si>
  <si>
    <t>10.1590/S0104-530X2011000400004</t>
  </si>
  <si>
    <t>https://www.scopus.com/inward/record.uri?eid=2-s2.0-84856675703&amp;doi=10.1590%2fS0104-530X2011000400004&amp;partnerID=40&amp;md5=199c3b71d25f358c30aa00b77d1f6dbb</t>
  </si>
  <si>
    <t>Energy</t>
  </si>
  <si>
    <t>10.1016/j.energy.2022.123285</t>
  </si>
  <si>
    <t>https://www.scopus.com/inward/record.uri?eid=2-s2.0-85123736368&amp;doi=10.1016%2fj.energy.2022.123285&amp;partnerID=40&amp;md5=da6cbcda171e6fa9f327c8263bf3d580</t>
  </si>
  <si>
    <t>https://www.scopus.com/inward/record.uri?eid=2-s2.0-85184776077&amp;doi=10.1016%2fj.rser.2024.114299&amp;partnerID=40&amp;md5=658d1df40adacfbbeb5e985afdb9147e</t>
  </si>
  <si>
    <t>Journal of Applied Science and Engineering</t>
  </si>
  <si>
    <t>10.6180/jase.2016.19.2.02</t>
  </si>
  <si>
    <t>https://www.scopus.com/inward/record.uri?eid=2-s2.0-84975760574&amp;doi=10.6180%2fjase.2016.19.2.02&amp;partnerID=40&amp;md5=1425b1688ea9909484d3b9d7f8e8a2df</t>
  </si>
  <si>
    <t>10.1002/aic.11854</t>
  </si>
  <si>
    <t>https://www.scopus.com/inward/record.uri?eid=2-s2.0-69049087107&amp;doi=10.1002%2faic.11854&amp;partnerID=40&amp;md5=6c168665ffab8ee6df64f27a1f74debf</t>
  </si>
  <si>
    <t>https://www.scopus.com/inward/record.uri?eid=2-s2.0-84871810249&amp;doi=10.1016%2fj.apenergy.2012.09.025&amp;partnerID=40&amp;md5=3a247c6286068a38cbf82e1f58a32fb1</t>
  </si>
  <si>
    <t>INFORMS Journal on Applied Analytics</t>
  </si>
  <si>
    <t>10.1287/INTE.2020.1045</t>
  </si>
  <si>
    <t>https://www.scopus.com/inward/record.uri?eid=2-s2.0-85093853011&amp;doi=10.1287%2fINTE.2020.1045&amp;partnerID=40&amp;md5=86d41bb99a69ee5d66468e3374da9a95</t>
  </si>
  <si>
    <t>IISE Transactions</t>
  </si>
  <si>
    <t>10.1080/24725854.2019.1589656</t>
  </si>
  <si>
    <t>https://www.scopus.com/inward/record.uri?eid=2-s2.0-85066629282&amp;doi=10.1080%2f24725854.2019.1589656&amp;partnerID=40&amp;md5=5698914ef7199ea4133fce1b173a01eb</t>
  </si>
  <si>
    <t>https://www.scopus.com/inward/record.uri?eid=2-s2.0-85018450227&amp;partnerID=40&amp;md5=7af5ccc8cca050211f5799503244a080</t>
  </si>
  <si>
    <t>Processes</t>
  </si>
  <si>
    <t>10.3390/PR8091189</t>
  </si>
  <si>
    <t>https://www.scopus.com/inward/record.uri?eid=2-s2.0-85092094522&amp;doi=10.3390%2fPR8091189&amp;partnerID=40&amp;md5=6ff1f4447942e7ccc373334ed5fdcc3a</t>
  </si>
  <si>
    <t>Applied Mathematical Modelling</t>
  </si>
  <si>
    <t>https://www.scopus.com/inward/record.uri?eid=2-s2.0-84875377451&amp;doi=10.1016%2fj.apm.2012.12.022&amp;partnerID=40&amp;md5=f02fcec187df51170ecc27315df73f1b</t>
  </si>
  <si>
    <t>Proceedings - European Council for Modelling and Simulation, ECMS</t>
  </si>
  <si>
    <t>https://www.scopus.com/inward/record.uri?eid=2-s2.0-85108187122&amp;partnerID=40&amp;md5=dcfb65c6e0e1a26d9a0e730c88f0cf33</t>
  </si>
  <si>
    <t>Chemical Engineering Research and Design</t>
  </si>
  <si>
    <t>https://www.scopus.com/inward/record.uri?eid=2-s2.0-85031717429&amp;doi=10.1016%2fj.cherd.2017.08.029&amp;partnerID=40&amp;md5=b214c5ecc34cc49226d1c1ac8c3b086a</t>
  </si>
  <si>
    <t>Soma de Cited by</t>
  </si>
  <si>
    <t>da Silva A.F.; Marins F.A.S.; Barra Montevechi J.A.</t>
  </si>
  <si>
    <t>Production</t>
  </si>
  <si>
    <t>de Ávila Ribeiro Junqueira R.; Morabito R.</t>
  </si>
  <si>
    <t>Autor</t>
  </si>
  <si>
    <t>Quantidade</t>
  </si>
  <si>
    <t>País Aplicação</t>
  </si>
  <si>
    <t>Brasil</t>
  </si>
  <si>
    <t>Chile</t>
  </si>
  <si>
    <t>China</t>
  </si>
  <si>
    <t>Irã</t>
  </si>
  <si>
    <t>Estados Unidos</t>
  </si>
  <si>
    <t>Argentina</t>
  </si>
  <si>
    <t>Síria</t>
  </si>
  <si>
    <t>País</t>
  </si>
  <si>
    <t>Publicações</t>
  </si>
  <si>
    <t>Citações</t>
  </si>
  <si>
    <t>Ano</t>
  </si>
  <si>
    <t>Não especificado</t>
  </si>
  <si>
    <t>Corsano, G. (Argentina)</t>
  </si>
  <si>
    <t xml:space="preserve"> Lu, S. (China)</t>
  </si>
  <si>
    <t xml:space="preserve"> Li, Z. (China)</t>
  </si>
  <si>
    <t>Li, X. (China)</t>
  </si>
  <si>
    <t>Wang, Y. (China)</t>
  </si>
  <si>
    <t>Montagna, J.M. (Argentina)</t>
  </si>
  <si>
    <t xml:space="preserve"> Morabito, R. (Brasil)</t>
  </si>
  <si>
    <t>de Paiva, R.P.O. (Brasil)</t>
  </si>
  <si>
    <t>de Ávila Ribeiro Junqueira, R. (Brasil)</t>
  </si>
  <si>
    <t>Marins, F.A.S. (Brasil)</t>
  </si>
  <si>
    <t>da Silva, A.F. (Brasil)</t>
  </si>
  <si>
    <t>de Paiva R.P.O.; Rocco C.D.; Morabito R.</t>
  </si>
  <si>
    <t>Jordânia</t>
  </si>
  <si>
    <t>Aliano Filho, A. (Brasil)</t>
  </si>
  <si>
    <t>Aliano Filho, Angelo</t>
  </si>
  <si>
    <t>Melo, Teresa</t>
  </si>
  <si>
    <t>Pato, Margarida Vaz</t>
  </si>
  <si>
    <t>Alemanha</t>
  </si>
  <si>
    <t>Portugal</t>
  </si>
  <si>
    <t>Aguayo, Maichel M.</t>
  </si>
  <si>
    <t>Sarin, Subhash C.</t>
  </si>
  <si>
    <t>Cundiff, John S.</t>
  </si>
  <si>
    <t>da Silva, Aneirson Francisco</t>
  </si>
  <si>
    <t>Marins, Fernando Augusto Silva</t>
  </si>
  <si>
    <t>Rocco, Cleber D.</t>
  </si>
  <si>
    <t>Morabito, Reinaldo</t>
  </si>
  <si>
    <t>Li, Xinchao</t>
  </si>
  <si>
    <t>Jin, Xin</t>
  </si>
  <si>
    <t>Lu, Shan</t>
  </si>
  <si>
    <t>Li, Zhe</t>
  </si>
  <si>
    <t>Wang, Yue</t>
  </si>
  <si>
    <t>Cao, Jiangtao</t>
  </si>
  <si>
    <t>de Paiva, Rafael Piatti Oiticica</t>
  </si>
  <si>
    <t>Montevechi, José Arnaldo Barra</t>
  </si>
  <si>
    <t>Al Mohamed, Alaa Alden</t>
  </si>
  <si>
    <t>Al Mohamed, Sobhi</t>
  </si>
  <si>
    <t>Ahmad, Marwa</t>
  </si>
  <si>
    <t>Awudu, Iddrisu</t>
  </si>
  <si>
    <t>Zhang, Jun</t>
  </si>
  <si>
    <t>de Ávila Ribeiro Junqueira, Rogério</t>
  </si>
  <si>
    <t>Hafezi, Negar</t>
  </si>
  <si>
    <t>Sheikhdavoodi, Mohammad Javad</t>
  </si>
  <si>
    <t>Bahrami, Houshang</t>
  </si>
  <si>
    <t>Alavi, Seyed Enayatallah</t>
  </si>
  <si>
    <t>Corsano, Gabriela</t>
  </si>
  <si>
    <t>Aguirre, Pío A.</t>
  </si>
  <si>
    <t>Montagna, Jorge M.</t>
  </si>
  <si>
    <t>You, Fengqi</t>
  </si>
  <si>
    <t>Tao, Ling</t>
  </si>
  <si>
    <t>Graziano, Diane J.</t>
  </si>
  <si>
    <t>Snyder, Seth W.</t>
  </si>
  <si>
    <t>Kantas, Alperen Burak</t>
  </si>
  <si>
    <t>Cobuloglu, Halil I.</t>
  </si>
  <si>
    <t>Büyüktahtakn, I. Esra</t>
  </si>
  <si>
    <t>Zhu, Li</t>
  </si>
  <si>
    <t>Poltroniere, Sônia Cristina</t>
  </si>
  <si>
    <t>Caversan, Amanda Suellen</t>
  </si>
  <si>
    <t>Balbo, Antonio Roberto</t>
  </si>
  <si>
    <t>Florentino, Helenice de Oliveira</t>
  </si>
  <si>
    <t>Fumero, Yanina</t>
  </si>
  <si>
    <t>Hierarchical production planning for sugarcane milling companies Robust optimization model</t>
  </si>
  <si>
    <t>Saadati, Mahdi</t>
  </si>
  <si>
    <t>Hosseininezhad, Seyed Javad</t>
  </si>
  <si>
    <t>País aplicação</t>
  </si>
  <si>
    <t>Artigo</t>
  </si>
  <si>
    <t>Autor principal</t>
  </si>
  <si>
    <t>Coautores</t>
  </si>
  <si>
    <t>Problema</t>
  </si>
  <si>
    <t>Técnicas de resolução</t>
  </si>
  <si>
    <t>Etapa da Cadeia produtiva</t>
  </si>
  <si>
    <t>Plataforma resolução</t>
  </si>
  <si>
    <t>Função Objetivo</t>
  </si>
  <si>
    <t>Nível de decisão</t>
  </si>
  <si>
    <t>Obs.</t>
  </si>
  <si>
    <t>-  O objetivo é desenvolver um plano tático para a
implantação de equipamentos de colheita e transporte que defina os períodos para a execução das operações de colheita nos
campos de cana-de-açúcar e o tipo de máquinas de colheita e veículos de transporte rodoviário a serem operados</t>
  </si>
  <si>
    <t>- bi-objective mixed-integer non-linear programming
- mixed-integer non-linear programming (MINLP)</t>
  </si>
  <si>
    <t>- Progressive Bounded Constraint (PBC)
- Linearização
- Soluções ótimas de Pareto são identificadas pelo método Progressive Bounded Constraint que é estendido ao problema em questão
- Técnicas de linearização ?
- Soluções lexicográficas ?
- Branch-and-Bound ?</t>
  </si>
  <si>
    <t>Planejamento integrado colheita e transporte para planejamento multiperíodo</t>
  </si>
  <si>
    <t>- CPLEX
- JuMP modeling language and embedded in the Julia programming language</t>
  </si>
  <si>
    <t>Bi-objetivo
- Minimizar o custo total de colheita e transporte
- Minimizar o tempo total de colheita</t>
  </si>
  <si>
    <t>Tático (temporada de colheita abril-dezembro)</t>
  </si>
  <si>
    <t>Falar deste artigo, pois fez uma busca na literatura, não uma revisão sistemática, mas para entender o tema</t>
  </si>
  <si>
    <t>- Problema de localização e instalações multiperíodo
- Problema de dimensionamento de lote capacitado de item único com instalações paralelas (CLSP-PF) e um problema de fluxo de rede
- Neste artigo, abordamos esse problema e, em particular, focamos no design de uma cadeia de suprimentos de logística de matéria-prima econômica encontrada durante a produção de etanol à base de switchgrass (capim-rabo-de-raposa).
- Verifica número de instalações de armazenamento (centros de distribuição e produtores rurais) a serem incluídos na cadeia de armazenamento e dimensiona o transporte até a usina de bioenergia
- Restrições de localização e dimensionamento de lote</t>
  </si>
  <si>
    <t>- Mixed-integer program</t>
  </si>
  <si>
    <t>Transporte de capim-rabo-de-raposa até a usina de bioenergia</t>
  </si>
  <si>
    <t>CPLEX</t>
  </si>
  <si>
    <t>Remover?</t>
  </si>
  <si>
    <t xml:space="preserve">- Problema e planejamento de produção agregado
- Previsão de cana a ser colhida por fornecedor e a quantidade de cana a ser moída
- Determina a quantidade de produtos a ser produzida em cada processo industrial
- Custo de transporte do produto final para o cliente
- O Modelo FGP retrata o processo de produção abrangente de açúcar, etanol, melaço e derivados, e considera as incertezas envolvidas na produção de etanol e açúcar. As tomadas de decisão, relacionadas às fases agrícola e logística, foram consideradas em um horizonte de planejamento semanal para incluir toda a temporada de colheita e os períodos entre as colheitas. A pesquisa forneceu resultados interessantes sobre decisões nas etapas agrícolas de corte, carregamento e transporte para fornecedores de cana-de-açúcar e, especialmente, nas decisões de moagem, cuja escolha do processo de produção inclui armazenamento e distribuição logística.
</t>
  </si>
  <si>
    <t>- Fuzzy Goal Programming model (FGP)</t>
  </si>
  <si>
    <t>- Método exato, diretamente no SOLVER 
- Programação por metas ?
- Incertezas ?</t>
  </si>
  <si>
    <t>- Planejamento agregado
- Integração das fases agrícola, industrial e logística em um modelo único, para apoiar a tomada de decisões durante as safras e períodos entre safras.
- Fornecimento de matéria prima, transporte e produção industrial</t>
  </si>
  <si>
    <t>- software GAMS - General Algebraic Modeling System, versão 24.2.1, enquanto o Solver CPLEX 12.6 foi utilizado para encontrar uma solução ótima para o modelo</t>
  </si>
  <si>
    <t>Multiobjetivo
- Minimizar os custos de cada fase agroindustrial
--Fornecimento de matéria-prima
-- Transporte de cana-de-açúcar
-- Processo de produção
- Minimizar o custo total do estoque
- Minimizar o custo total de distribuição dos produtos aos clientes
- Maximizar a produção:
--Açúcar Cristal
--Açúcar VHP
--Açúcar VVHP
--Produção de etanol</t>
  </si>
  <si>
    <t>Estratégico ?
Uma safra (período t (colheita e entre colheitas ou 52 semanas);</t>
  </si>
  <si>
    <t>- O primeiro nível hierárquico do modelo da cadeia de suprimentos corresponde ao planejamento agregado da colheita, considerando todas as usinas da sociedade cooperativa, com foco nas principais decisões mensais sobre o mix de produção, armazenamento e políticas de vendas da sociedade cooperativa. No segundo nível, as decisões são menos agregadas, considerando o planejamento semanal da colheita e as configurações industriais de cada usina no sistema cooperativo para atender à demanda potencial do produto (açúcar, etanol e melaço) definida no primeiro nível do modelo.
- 10 moinhos, 12 produtos, 12 meses, 25 semanas e 24 processos industriais.</t>
  </si>
  <si>
    <t>- Transporte, colheita, produção industrial e venda</t>
  </si>
  <si>
    <t>Estratégico e Tático</t>
  </si>
  <si>
    <t>- Utilizou conjunto de dados reais, diferente de Paiva Morabito 2014 que teve objetivo de validar os modelos
- Descreve operação básica da indústria com uma figura simples
- Diagrama de processo com base no Paiva e Morabito 2013</t>
  </si>
  <si>
    <t xml:space="preserve">- Este modelo se baseia nos modelos clássicos de seleção de processos e dimensionamento de lotes para representar o sistema de produção de açúcar, álcool e melaço, incluindo decisões da etapa agrícola, das fases de corte, carregamento e transporte de cana e, principalmente, decisões de moagem, escolha do processo produtivo e estoque dos produtos finais. As decisões são tomadas em períodos semanais e o horizonte de planejamento são as semanas de safra. </t>
  </si>
  <si>
    <t>- Modelo combinado de seleção de processo e dimensionamento de lotes</t>
  </si>
  <si>
    <t>- Quanto comprar de cana,  corte, carregamento, transporte, produção industrial e estoque</t>
  </si>
  <si>
    <t>Linguagem de modelagem GAMS no CPLEX</t>
  </si>
  <si>
    <t>- maximizar a margem de contribuição agroindustrial de produção dos produtos p, por meio dos processos k, da matéria-prima m, do tipo de transporte da matéria-prima f e do local de estoque e, em todos os períodos t
- Maximizar a margem de contribuição
- O problema consiste em determinar o quanto produzir de cada produto em cada processo, de maneira a minimizar os custos de produção, sujeito às restrições de limitação de recursos e atendimento da demanda</t>
  </si>
  <si>
    <t>Estratégico ?
- uma safra</t>
  </si>
  <si>
    <t>macro-operações envolvidas no processo de produção de uma usina (pesagem, estocagem, lavagem, preparo/moagem, clarificação do caldo, evaporação, cozimento/turbinação) e de uma destilaria (fermentação/centrifugação, destilação). Também podemos perceber as macro-perdas envolvidas na produção de açúcar e álcool (perdas na água de lavagem, no bagaço, na torta, na fermentação, na vinhaça e perdas indeterminadas)</t>
  </si>
  <si>
    <t>Utilizar como base para o modelo</t>
  </si>
  <si>
    <t>São iguais</t>
  </si>
  <si>
    <t>- o modelo proposto neste artigo visa utilizar uma perspectiva agregada de toda a cadeia de suprimentos agroindustrial para auxiliar os tomadores de decisão na seleção processos industriais utilizados na produção de açúcar, etanol e melaço, bem como na determinação das quantidades de cana-de-açúcar moída, na seleção de fornecedores de cana-de-açúcar e na determinação de fornecedores de transporte e as decisões de armazenagem relacionadas aos produtos finais. No estudo de caso que está sendo considerado, essas decisões são tomadas semanalmente e o horizonte de planejamento é toda a temporada de colheita da cana-de-açúcar (ou seja, 23 semanas).</t>
  </si>
  <si>
    <t>-Programação inteira mista</t>
  </si>
  <si>
    <t>- A função objetivo (1) maximiza a receita variável total de todos os setores agroindustriais. etapas da usina. Esta função objetivo auxilia o tomador de decisão a determinar a quantidade de cana-de-açúcar moída, a seleção de fornecedores de cana-de-açúcar, a seleção de cana-de-açúcar fornecedores de transporte, a seleção do processo industrial utilizado na produção de açúcar, etanol e melaço e as decisões de armazenagem relacionadas aos produtos finais visando atingir a receita máxima em toda a temporada de colheita</t>
  </si>
  <si>
    <t>- O caso considera tanto a palha de milho quanto a palha de trigo como matérias-primas de biomassa, e adota duas técnicas de enfardamento para transformar as matérias-primas em fardos retangulares e redondos, respectivamente. A palha de milho, a palha de trigo e outros resíduos deixados após a colheita podem ser usados ​​para a produção de bioetanol durante todo o ano.
- Este artigo apresenta um modelo específico de otimização de programação de produção com eficiência em carbono para a planta de bioetanol e propõe uma abordagem de otimização de objetivo duplo para demonstrar a eficácia em decisões flexíveis entre emissão de carbono e lucro. Os efeitos de diferentes matérias-primas de biomassa com densidade de peletização opcional e métodos de pré-tratamento na programação da produção são analisados.</t>
  </si>
  <si>
    <t>- mixed integer linear programming (MILP)</t>
  </si>
  <si>
    <t>- LINGO</t>
  </si>
  <si>
    <t>- bi-objetivo
- O problema de programação da produção de biocombustível de etanol acima mencionado avalia dois objetivos principais de otimização, eles são o lucro total e a emissão de carbono. Como esses dois aspectos são medidos por escalas diferentes, um modelo de otimização de objetivo duplo é introduzido, que usa o método de ponderação de associação para resolver e, então, é otimizado simultaneamente
- Primeiramente, o planejamento da produção e programação do transporte, armazenamento, pré-tratamento e fabricação de etanol da usina de bioetanol são totalmente considerados. Em segundo lugar, as emissões de carbono no processo de fabricação de etanol são integradas ao modelo para formar um modelo de otimização de objetivo duplo que otimiza simultaneamente o plano de produção e as emissões de carbono</t>
  </si>
  <si>
    <t>- Para lidar com esse problema, este artigo primeiro estabelece um modelo MILP de programação do processo de produção de bioetanol, considerando o trade-off entre emissões de carbono e lucros. Em segundo lugar, com base na influência de diferentes esquemas de pré-tratamento no rendimento de bioetanol no processo de produção de bioetanol, a influência dos esquemas de pré-tratamento no lucro total com condições de demanda variáveis é estudada. Finalmente, uma abordagem de otimização de objetivo duplo com base na associação ponderada é aplicada para equilibrar quantitativamente os efeitos da emissão de carbono na programação da produção e, com base nisso, fornece uma ferramenta com eficiência de carbono para projetar a programação da produção da planta de bioetanol.</t>
  </si>
  <si>
    <t>planta de bioetanol, palha de milho e de trigo</t>
  </si>
  <si>
    <t>- o estudo atual propõe um modelo de programação linear inteira mista multiobjetivo para localizar instalações de hub na rede da cadeia de suprimentos de bioetanol à base de bagaço. A metodologia proposta é capaz de determinar o número ideal de locais, a capacidade das instalações, o modo de transporte apropriado, o fluxo de material entre cada par de nós e o planejamento da produção em diferentes períodos. Para ilustrar a aplicação do modelo desenvolvido, um estudo de caso do Irã é conduzido e o desempenho do modelo desenvolvido é avaliado usando dados do mundo real relacionados à indústria açucareira do Irã.
- Este artigo desenvolve um modelo de hub-and-spoke para uma planta de beneficiamento de bagaço rede da cadeia de suprimentos de bioetanol.
- A rede é composta por cinco escalões: centros de abastecimento, centros de pré-processamento, biorrefinarias, instalações de hub e centros de demanda.</t>
  </si>
  <si>
    <t>- Soluções Pareto-ótimas são exploradas em vez de soluções ótimas e posteriormente, o tradeoff entre duas funções objetivo
- O trade-off entre a minimização dos custos totais e emissão de CO2 e o diagrama de Pareto resultante do método e-constraint
- é feita uma análise de sensibilidade em dois dos parâmetros do modelo (custo de importação, estabelecimento do hub)</t>
  </si>
  <si>
    <t>- Neste artigo, é apresentado um modelo MILP, incluindo alocação de localização de instalações, planejamento de distribuição e planejamento de produção.
- Determinar o número ideal de locais, capacidade das instalações, modo de transporte adequado, planejamento de produção e importação e fluxo de materiais entre componentes da cadeia de suprimentos em diferentes períodos de tempo.</t>
  </si>
  <si>
    <t>- Estratégica e tática
-  O modelo proposto aborda as seguintes decisões estratégicas e táticas da cadeia de suprimentos: (1) decisões estratégicas de nível estratégico que tratam da determinação do número, capacidade e localização de centros de pré-processamento, biorrefinarias e hubs. As decisões em níveis táticos são atribuídas à programação de produção, como quantidade de produção, nível de estoque e número de materiais transportados entre diferentes níveis da cadeia em diferentes períodos.</t>
  </si>
  <si>
    <t>- Recentemente Paiva (2009) e Paiva e Morabito (2012) apresentaram um modelo de otimização determinístico para o problema de planejamento agregado da produção em usinas cooperadas do setor sucroenergético. Esta modelagem, denominada PASUC (Planejamento Agregado de Safra em Usinas Cooperadas do Setor Sucroenergético), considera a relação hierárquica existente entre o planejamento anual da cooperativa e o planejamento tático de safra das usinas cooperadas, propiciando a análise integrada do planejamento de safra em um grupo de usinas.</t>
  </si>
  <si>
    <t>- Programação linear e programação linear inteira mista
- modelo de otimização robusta com incerteza</t>
  </si>
  <si>
    <t>-No nível de decisão da cooperativa (PASUC/N1), um modelo de programação linear multiproduto, dois estágios, dinâmico, capacitado, com horizonte de planejamento anual e agregação temporal mensal determina a quantidade e o mix de produção (PUput) das usinas, a política de estoque (Ipet) e a política de atendimento da demanda (Dpt)
- No nível de decisão de cada usina cooperada (PASUC/N2), um modelo de programação inteira mista multiproduto, monoestágio, multiprocesso, dinâmico, capacitado, com horizonte de planejamento do período de moagem (aproximadamente 6 meses) e agregação temporal semanal combina decisões de dimensionamento e sequenciamento dos lotes de produção para o atendimento das metas do primeiro nível hierárquico</t>
  </si>
  <si>
    <t>-  Essas variáveis devem ser calculadas de forma que a margem de contribuição do grupo seja maximizada
-O objetivo é obter um plano tático de safra que proporcione a máxima margem de contribuição, respeitando as restrições de previsão de safra, capacidade de transporte, capacidade de estoque, fluxo de caixa positivo e necessidade de energia térmica e elétrica nos processos industriais.</t>
  </si>
  <si>
    <t>- Tático</t>
  </si>
  <si>
    <t>Cita trabalhos anteriores deles de 2011</t>
  </si>
  <si>
    <t xml:space="preserve"> - neste estudo, propomos uma estrutura de simulação híbrida para o planejamento de produção sustentável de uma refinaria de biocombustível para sua produção de etanol à base de grãos. E este estudo será a primeira tentativa de avaliar o desempenho econômico de toda a cadeia de suprimentos, desde a plantação de matéria-prima para biocombustíveis até a produção de etanol.</t>
  </si>
  <si>
    <t>-Para incorporar as interações dinâmicas e contínuas dentro de uma instalação, adotamos simulação baseada em agentes (ABS - agent-based simulation) neste estudo. ABS é um paradigma de simulação contínua equipado com algoritmos de inteligência artificial (IA) para tomar decisões sobre múltiplos agentes
-  Existem oito operações principais em uma refinaria, e as operações estão intimamente conectadas entre si. Modelamos as interações entre as operações e as atividades de transporte entre fazendas de matéria-prima e uma refinaria por meio do ABS, usando o software AnyLogic® para a modelagem. 
-  adotamos o OptQuest®, que é um mecanismo de otimização meta-heurística, para encontrar uma taxa de produção apropriada com o custo operacional mínimo
-  Para validação do modelo, comparamos os rendimentos simulados de milho com os rendimentos medidos de 2015 a 2018. Para avaliar a calibração e validação do modelo, calculamos o viés percentual (PBIAS), o erro quadrático médio (RMSE) e o coeficiente de correlação de determinação de Pearson (R2 ).</t>
  </si>
  <si>
    <t>- Para uma estimativa precisa da distância de viagem entre fazendas e uma refinaria, usamos o módulo GIS no AnyLogic® AnyLogic</t>
  </si>
  <si>
    <t>-O modelo proposto neste trabalho determina simultaneamente a estrutura de uma cadeia de suprimentos de três escalões (locais de matéria-prima, instalações de produção e zonas de clientes), o projeto de cada planta instalada e considerações operacionais por meio de campanhas de produção. A produção de levedura é considerada para reduzir o impacto ambiental negativo causado por resíduos de bioetanol.</t>
  </si>
  <si>
    <t>- mixed integer linear programming (MILP)
- Their approach establishes the optimal plant configuration (unit dimensions, units duplication) and the production planning using mixed product campaigns (MPC) (number of batches of each product in the campaign and its sequencing)</t>
  </si>
  <si>
    <t>-compreende três escalões: matéria-prima locais de materiais, instalações de produção de etanol/levedura e zonas de clientes.
- Cada planta instalada pode produzir os três produtos: levedura torula, etanol e levedura de padeiro, e eles têm as etapas de processo</t>
  </si>
  <si>
    <t>Outro do Corsano MINLP</t>
  </si>
  <si>
    <t>- planejamento integrado do plantio e colheita de cana-de-açúcar e cana-energia para uma usina sucroenergética é proposto para determinar um cronograma otimizado de plantio e colheita, que visa maximizar a produção de sacarose e fibra nos canaviais.
- novo modelo de otimização linear inteira mista para o planejamento integrado do plantio e colheita de cana-de-açúcar e cana-energia, de modo que a sacarose obtida da cana-de-açúcar mantenha seu objetivo de produzir açúcar e etanol, enquanto a cana-energia auxilie na produção de energia e etanol de segunda geração. Um método de solução heurística baseado nos princípios das técnicas relax-an-fix e fix-and-optimize é proposto para resolver esses problemas de larga escala, que não podem ser resolvidos por métodos exatos de otimização inteira mista</t>
  </si>
  <si>
    <t>- heurística baseada nos conceitos relax-and-fix e fix-and-optimize
- O método é baseado nas heurísticas relax-and-fix e fix-and-optimize, que não têm um caráter de busca quase aleatório como as metaheurísticas clássicas (algoritmos evolucionários, recozimento simulado, busca de vizinhança variável, etc.).
- Embora três subproblemas de otimização inteira mista tenham que ser resolvidos para obter uma solução heurística, cada um deles é otimizado mais rapidamente em comparação com a resolução do modelo original (1)–(14). Primeiramente, a maioria das variáveis do modelo estão relacionadas à colheita (tijhd), então relaxando-as e mantendo apenas as variáveis de plantio (xijm) como variáveis binárias diminui substancialmente o esforço na árvore branch-and-bound quando a otimização é feita. Em segundo lugar, embora o subproblema na Fase 2 considere tijhd ÿ {0, 1}, a fixação de variáveis de plantio simplifica o modelo a ser resolvido. As restrições (2)–(5) e consequentemente as restrições (6) são satisfeitas trivialmente. Como o objetivo é minimizar os desvios, basta encontrar uma solução inteira viável para finalizar a busca na árvore branch-and-bound. Finalmente, os subproblemas da Fase 3 aproveitam a estrutura de solução vinda das fases anteriores, fixando variáveis, a fim de acelerar a otimização do objetivo original do modelo. Portanto, a Fase 1 e 2 são consideradas como relax-and-fix e, finalmente, a Fase 3 é o momento de fix-and-optimize. Um fluxograma das heurísticas desenvolvidas é esquematizado na Fig. 2.</t>
  </si>
  <si>
    <t>-plantio e colheita</t>
  </si>
  <si>
    <t>- CPLEX
- ambiente de programação Julia, modelagem JuMP
-  O modelo de otimização foi resolvido pelo software CPLEX Optimization (CPLEX, 2017). A implementação do modelo, bem como a heurística proposta, foram desenvolvidas no ambiente de programação Julia, versão 1.0.4 (Bezanson et al., 2017), utilizando a linguagem de modelagem JuMP versão v0.20 (Dunning et al., 2017).</t>
  </si>
  <si>
    <t>- A função objetivo (1) visa maximizar a produção de sacarose e fibra e minimizar o estoque de sacarose. 
- objetivo é colher as variedades de cana-de-açúcar o mais próximo possível do pico de maturação, ou seja, maximizar a produção de sacarose. Da mesma forma, pretende-se maximizar a produção de fibra de cana-energia, considerando que sua produtividade aumenta ao longo do tempo, ou seja, é possível colher após 12 meses e então obter um teor de fibra ainda maior</t>
  </si>
  <si>
    <t>-horizonte de planejamento (safra anual) dividido em períodos (meses)</t>
  </si>
  <si>
    <t>- Neste artigo, um modelo de otimização estocástica multiestágio misto é proposto para resolver o problema de planejamento da produção de uma planta de bioetanol com múltiplos matérias-primas considerando simultaneamente a demanda e o rendimento incertos.</t>
  </si>
  <si>
    <t>-  Com base no processo de produção da planta de bioetanol, o modelo proposto é usado para resolver o problema de planejamento da produção sob as condições híbridas de demanda e rendimento incertos.</t>
  </si>
  <si>
    <t xml:space="preserve"> - O modelo é resolvido no LINGO 11 e no Matlab</t>
  </si>
  <si>
    <t>- A função objetivo Z1 é minimizar o custo total de produção, que inclui quatro custos: os custos de matéria-prima e produção de etanol, o custo de armazenamento de matéria-prima na planta de bioetanol, o custo de armazenamento de bioetanol e o custo de pedidos em atraso no plano de produção fixo
- A função objetivo Z2 consiste em duas partes: custo de produção de bioetanol e custos de matéria-prima, armazenamento e pedidos em atraso de uma planta de bioetanol sob condições incertas.
-  A abordagem de programação estocástica multiestágio proposta visa criar uma ferramenta de decisão de planejamento flexível e eficiente que pode ser implementada na produção de bioetanol, com a capacidade de lidar com a incerteza híbrida de demanda e rendimento para minimizar o custo do consumo de matéria-prima, estoque e pedidos em atraso.</t>
  </si>
  <si>
    <t xml:space="preserve">- Neste estudo de caso, um modelo de plano de produção de curto prazo para a planta de bioetanol é estabelecido. Considerando um horizonte de planejamento de 12 dias, onde um dia representa um período de produção. Palha de milho e palha de trigo são usadas como matérias-primas para produzir bioetanol na planta. A biomassa é enviada para a planta de bioetanol usando diferentes métodos de embalagem e é armazenada no depósito de matéria-prima.
- assumiu que a demanda em 3 dias consecutivos é estável. Isto a suposição é baseada no prazo de produção do bioetanol. Portanto, 12 períodos de planejamento são divididos em 4 etapas.
- No caso deste artigo, 12 dias são primeiramente selecionados como um horizonte de planejamento para análise. Para verificar a viabilidade do
modelo para planejamento de médio e longo prazo, o horizonte de planejamento foi estendido para 30 dias. </t>
  </si>
  <si>
    <t>-  ter como objetivo minimizar os deslocamentos das frentes de colheita durante a temporada de colheita, mas também minimizar as perdas por moagem da produção industrial e a matéria-prima deixada sem ser colhida nos campos durante toda a temporada.</t>
  </si>
  <si>
    <t>- Este artigo apresenta um modelo de Programação Inteira Mista (MIP) para representar e resolver apropriadamente este problema logístico, programando áreas para frentes de colheita e mantendo constantes as capacidades de colheita e transporte.
- O modelo foi inspirado no Problema Geral de Dimensionamento e Programação de Lotes com Linhas de Produção Paralelas (GLSPPL)
- General Lotsizing and Scheduling Problem with Parallel Production Lines (GLSPPL)</t>
  </si>
  <si>
    <t>-  e apresenta um método heurístico para resolvê-lo, envolvendo um processo de agregação, uma heurística MIP construtiva baseada em relax-and-fix e uma heurística MIP de melhoria baseada em fix-and-optimize
- também apresenta um método aproximado para resolver este modelo MIP para instâncias de problemas reais de grande porte usando heurísticas MIP baseadas em relax-and-fix, conforme proposto por Pochet e Wolsey (2006), e baseadas em fix-and-optimize, conforme proposto por Helber e Sahling (2010).</t>
  </si>
  <si>
    <t>- Colheita e transporte</t>
  </si>
  <si>
    <t>- GAMS 24.1.3 e CPLEX 12.5.1.0
- O GAMS/CPLEX não conseguiu resolver o modelo devido à falta de memória do computador (mensagem “sem memória”). Portanto, o seguinte os resultados referem-se apenas às soluções da abordagem heurística.</t>
  </si>
  <si>
    <t>- A função objetivo (1) avalia o impacto dos custos do falha na moagem, a cana deixada sem ser colhida e também o deslocamento das frentes de colheita, o que também é considerado, embora seja de grande importância segunda ordem se comparado aos outros dois. 
- O seguinte modelo MIP minimiza o custo das perdas de moagem (mo) é o custo de oportunidade de uma tonelada de cana-de-açúcar não moída em um período que a produção não atende a demanda mínima mindmt), o custo de perda de cana-de-açúcar deixada no campo (bs é o custo de oportunidade de uma tonelada de cana-de-açúcar deixada sem ser colhida), e o custo das mudanças na frente de colheita (md é o custo unitário da distância percorrida pela frente de colheita para se deslocar de um quarteirão para outro, ou seja, o custo de um km percorrido no transporte o equipamento/máquina)</t>
  </si>
  <si>
    <t>-  planejamento de colheita de toda a temporada de uma usina de açúcar brasileira típica</t>
  </si>
  <si>
    <t>- A pesquisa abrange decisões sobre as etapas agrícolas e de corte, carregamento e transporte de cana-de-açúcar por fornecedores e, especialmente, decisões de cogeração de energia; ou seja, a escolha do processo de produção, incluindo etapas de armazenamento e distribuição
- Os objetivos desta pesquisa foram desenvolver e aplicar uma Programação Múltipla de Metas Inteiras Mistas (MCMIGP) modelo para um problema real de planejamento de produção agregada em larga escala em uma empresa de moagem de açúcar e etanol, incluindo energia cogeração e comparar esses resultados com aqueles obtidos usando um modelo WGP. Programação de Metas de Peso – WGP</t>
  </si>
  <si>
    <t>- Modelo de Programação de Metas Inteiras Múltiplas Escolhas (MCMI-GP)
- Multi-Choice Mixed Integer Goal Programming model (MCMI-GP)</t>
  </si>
  <si>
    <t>- para planejamento de produção agregada, distribuição e cogeração de energia de uma empresa de moagem de açúcar e etanol. Ambos os modelos foram aplicados a um problema real de planejamento de produção agregada em um
- O modelo MCMIGP proposto tem a capacidade de lidar com situações realistas em um ambiente de incertezas e fornece outra ferramenta de decisão para o planejamento de produção agregada de empresas de moagem de açúcar e etanol</t>
  </si>
  <si>
    <t>GAMS 23.6.2 com o solucionador de otimização CPLEX 12.2.1</t>
  </si>
  <si>
    <t>- Uma safra</t>
  </si>
  <si>
    <t>- A pesquisa adotada foi proposta por Bertrand e Fransoo [49] e Bryman e Bell [50], e pode ser classificada como empírico-descritivo aplicado à prática, tendo uma abordagem quantitativa e um procedimento de modelagem técnica</t>
  </si>
  <si>
    <t>Metodologia modelo para otimização</t>
  </si>
  <si>
    <t>confidencialidade, trabalhamos com valores econômicos proporcionais em conformidade com as condições do CM para fornecer o dados para esta pesquisa.</t>
  </si>
  <si>
    <t>- aplicado a uma planta de fermentação em batelada para produzir dois produtos: levedura para ração de gado e etanol que no modelo são chamados de A e B.
- Neste trabalho, um modelo MINLP geral é proposto para o otimização simultânea do projeto, operação, programação e planejamento de uma planta de lote multiprodutos, considerando uma abordagem multiperíodo.
- Esta abordagem é proposta para uma rede de fermentadores com alto nível de detalhes na descrição das operações unitárias em uma planta que produz levedura e etanol.</t>
  </si>
  <si>
    <t>- mixed integer nonlinear program (MINLP)
- modelo de otimização multiperíodo</t>
  </si>
  <si>
    <t>- modelo de campanha de produtos mistos MPC
-  the problem of sizing and scheduling of a multiproduct batch plant for the unlimited intermediate storage and zero wait (ZW) transfer policies with mixed-product campaigns (MPCs)
- modelo determina o MPC ideal a partir de um conjunto de diferentes campanhas propostas pelo designer segundo heurísticas critérios, onde a seleção da campanha é modelada por meio de variáveis binárias
- Trapezoidal ?</t>
  </si>
  <si>
    <t>- otimização integral dos processos de fermentação</t>
  </si>
  <si>
    <t>- GAMS 20
- O código DICOPT foi usado para resolver os problemas MINLP</t>
  </si>
  <si>
    <t xml:space="preserve">-diferentes configurações de campanha são propostas para cada período de tempo e são manipulados em termos de variáveis binárias. </t>
  </si>
  <si>
    <t>Neste artigo, desenvolvemos um modelo de dimensionamento de lote capacitado por programação linear inteira mista (MILP) para analisar a viabilidade econômica e ambiental da produção de etanol usando múltiplas fontes de biomassa. O modelo minimiza o custo da produção de etanol enquanto penaliza seus possíveis impactos ambientais adversos, como emissões de CO2 e uso excessivo de água.
- Neste artigo, apresentamos um modelo de dimensionamento de lote MILP que define o design ideal da produção de etanol a partir de diferentes fontes de biomassa. O objetivo deste modelo é minimizar o custo total, bem como os impactos ambientais negativos totais, como emissões excessivas de CO2 e uso de água. Até onde sabemos, este estudo é o primeiro a fornecer um modelo de dimensionamento de lote MILP que considera os impactos econômicos e ambientais da produção de etanol. O modelo proposto é aplicado a um estudo de caso real de um local de produção de biocombustível em Hugoton, Kansas, usando quatro fontes de biomassa diferentes: capim-rabo-de-raposa, cana-de-açúcar, milho e trigo.</t>
  </si>
  <si>
    <t>- mixed-integer linear programming (MILP) capacitated lot-sizing model</t>
  </si>
  <si>
    <t>- abordagem de dimensionamento de lote capacitado, na qual a quantidade de capacidade de produção e matéria-prima de biomassa disponível são limitadas. 
- modelo de dimensionamento de lote capacitado por MILP com restrições de emissões de CO2 e uso de água que é aplicado à produção de biocombustíveis.</t>
  </si>
  <si>
    <t>-  IBM Ilog Cplex 12.5</t>
  </si>
  <si>
    <t xml:space="preserve">- A função objetivo do modelo MILP inclui custos de produção, custos de instalação e custos de compra de biomassa menos crédito fiscal para cada galão de etanol produzido e renda da produção de eletricidade, bem como custos de manutenção de estoque e uma penalidade fiscal pela quantidade excessiva de emissões de CO2 e uso excessivo de água durante a produção
- minimizar o custo total da produção de etanol, manutenção de estoque e compra de biomassa, bem como o custo de penalidade em relação ao uso excessivo de água e emissões de CO2. </t>
  </si>
  <si>
    <t>- Neste estudo, consideramos um horizonte de planejamento de um ano consistindo de 26 períodos, onde cada período representa um período de duas semanas.</t>
  </si>
  <si>
    <t>- modelo de programação linear inteira mista multiobjetivo (mo-MILP) é desenvolvido para levar em conta as principais características das cadeias de suprimento de etanol celulósico, incluindo sazonalidade do suprimento e diversidade geográfica, degradação de biomassa, densidade de matéria-prima, diversas vias de conversão e subprodutos, compatibilidade de infraestrutura, distribuição de demanda, economia regional e incentivos governamentais.</t>
  </si>
  <si>
    <t xml:space="preserve">-multiobjective mixed-integer linear programming (mo-MILP) model </t>
  </si>
  <si>
    <t>- e-constraint method; and the resulting Pareto-optimal
- O problema mo-MILP é resolvido com um método de restrição eletrônica; e as curvas Pareto-ótimas resultantes revelam o tradeoff entre as dimensões econômica, ambiental e social das cadeias de suprimento de biocombustíveis sustentáveis
- Neste artigo, combinamos técnicas de LCA com uma abordagem de programação matemática, criando um método sistemático que permite a geração e avaliação automática de processos e alternativas à cadeia de abastecimento que podem levar a benefícios ambientais e económicos significativos
- Especificamente, adotamos técnicas clássicas de LCA baseadas em processos, seguindo os princípios e padrões estabelecidos em ISO14040
- Quantificação dos impactos sociais através de input-output análise
- social dimensions of sustainability for the entire cellulosic biofuel supply chain based on life cycle analysis (LCA) and economic input–output (EIO) analysis</t>
  </si>
  <si>
    <t>- Uma cadeia de fornecimento típica de biomassa celulósica para biocombustíveis inclui cinco elementos principais: sistema de produção de biomassa, sistema de logística de biomassa, sistema de produção de biocombustível, biocombustível sistema de distribuição e uso final do biocombustível
- tomada de decisões em múltiplos períodos temporais e escalas espaciais e simultaneamente prevê o melhor projeto de rede, localização de instalações, seleção de tecnologia, investimento de capital, operações de produção, controle de estoque e decisões de gestão logística</t>
  </si>
  <si>
    <t>- O modelo MILP foi codificado em GAMS 23.4.3 e resolvido com o solver CPLEX 12.
- Modelos de processo baseados em Aspen Plus
- O modelo também é integrado com o LCA e o EIO por meio de um esquema de otimização multiobjetivo para levar em conta os aspectos econômicos, objetivos ambientais e sociais.
- IMPLAN Professional46 e do JEDI O modelo 44 é usado para quantificar os empregos acumulados</t>
  </si>
  <si>
    <t>- otimização multiobjetivo
- 3 objetivos: Os objetivos são maximizar o desempenho econômico, ambiental e social do biocombustível celulósico.
- o objetivo econômico é definido em (41). O objetivo ambiental, que é modelado com base nos princípios do LCA, é definido em (42). A equação (43) define o número de empregos anuais equivalentes em tempo integral acumulados regionalmente, que é o objetivo social com base na análise EIO. 
- Objetivo econômico - minimizar o custo total anualizado
- Objetivo ambiental - minimizar as emissões de GEE (CO2-equivalente/ano)
- Objetivo social - maximizar o número de empregos locais acumulados (equivalente a tempo inteiro durante um ano)</t>
  </si>
  <si>
    <t>- O horizonte de planejamento de um ano é dividido em uma série de períodos de tempo.</t>
  </si>
  <si>
    <t>Explica bem detalhado o processo de fabricação do bioetanol (etanol celulósico)</t>
  </si>
  <si>
    <t>- problema de programação e sequenciamento das frentes de colheita em usinas de cana-de açúcar</t>
  </si>
  <si>
    <t>- programação inteira mista</t>
  </si>
  <si>
    <t>- problema geral de dimensionamento e sequenciamento de lotes com linhas de produção em paralelo (GLSPPL – General Lot-sizing and Scheduling Problem for Parallel Production Lines) proposto por Meyr (2002)
- GLSPPL com conservação de setup, inspirado nos estudos em Meyr (2002) e Meyr &amp; Mann (2013)
-  lot sizing and scheduling problem on parallel machines with sequence-dependent setup times and costs
- modelo de dimensionamento e sequenciamento de lotes da produção em máquinas paralelas, com custos e tempos de setup dependentes da sequência</t>
  </si>
  <si>
    <t>- Sequenciamento das frentes de colheita</t>
  </si>
  <si>
    <t>- Os Modelos 1, 1A e 1B foram codificados em GAMS 24.1.3 e resolvidos otimamente pelo CPLEX 12.5.1.0.</t>
  </si>
  <si>
    <t xml:space="preserve">- A função objetivo 1 maximiza a preferência por colher os blocos nos períodos mais favoráveis dentro da janela de tempo. 
- Modelo 1A: mínimo deslocamento das frentes: Entretanto, como com essa modificação o tempo de setup deixa de ser considerado no modelo, altera-se a função objetivo para a Equação 17 de forma a minimizar esse tempo de deslocamento das frentes de colheita
- Modelo 1B: mínimos custos de deslocamento da frente, perda de moagem e de não colher matéria-prima:  foram inseridas variáveis de folga nas restrições de produção e demanda, sendo essas variáveis penalizadas na função objetivo com base em seu custo unitário. Os custos de deslocamento da frente de colheita estão presentes na função objetivo, mas podem ser considerados como de segunda ordem, servindo principalmente como critério de desempate.
</t>
  </si>
  <si>
    <t>- horizonte de planejamento multi-períodos (e.g., semanas ou meses de uma safra)</t>
  </si>
  <si>
    <t xml:space="preserve">- O objetivo deste estudo foi otimizar a alocação de fazendas de cana-de-açúcar para os períodos de colheita com base em parâmetros preditivos de rendimento de cana-de-açúcar e porcentagem de açúcar recuperável. 
-problema de atribuição generalizada na forma de programação inteira mista para modelar o melhor tempo de colheita de fazendas de cana-de-açúcar em um horizonte de 7 meses
- para otimizar o tempo de colheita das fazendas, dois parâmetros críticos de rendimento de cana-de-açúcar e porcentagem de açúcar recuperável foram previstos por um sistema de agrupamento fuzzy c-means. </t>
  </si>
  <si>
    <t>- programação inteira mista
- Mixed integer programming</t>
  </si>
  <si>
    <t>- fuzzy c-means clustering system
- sistema de agrupamento fuzzy c-means.
-  Um sistema de inferência neuro-fuzzy adaptativo (ANFIS) baseado em agrupamento c-means foi usado para prever os parâmetros. 
- adaptive neuro-fuzzy inference system (ANFIS) based on c-means clustering
- baseado no algoritmo branch and cut foi usado para implementar o modelo e atingir a alocação ótima de fazendas de cana-de-açúcar.</t>
  </si>
  <si>
    <t>- Tempos de colheita</t>
  </si>
  <si>
    <t>- GAMS versão 24.1 com um solucionador CPLEX.
-  o software MATLAB versão 2017b foi usado para prever os parâmetros modelados pelo sistema de inferência fuzzy</t>
  </si>
  <si>
    <t xml:space="preserve">- é a função objetivo do problema, que busca maximizar o lucro bruto da colheita de cada fazenda de cana-de-açúcar no melhor período em termos da maior quantidade prevista de açúcar recuperável.
- estimando os valores previstos durante os sete períodos de colheita (novembro-maio) de 2018-2019, os custos variáveis da colheita e transporte da cana-de-açúcar, o custo de pontualidade da operação e a renda da produção de açúcar branco e etanol foram calculados. </t>
  </si>
  <si>
    <t>- horizonte de 7 meses (uma safra).
- sete períodos de colheita (novembro-maio) de 2018-2019</t>
  </si>
  <si>
    <t xml:space="preserve">- A cana-de-açúcar é uma planta perene adequada para climas quentes e úmidos. O principal produto extraído da cana-de-açúcar é o açúcar, que varia de acordo com a variedade, as condições geográficas e climáticas. A porcentagem de recuperação de açúcar durante 2019–2020 em diferentes países foi de 8,07–14,08%. Assim, a maior recuperação de açúcar foi observada na Austrália, seguida pelo Brasil, EUA, Colômbia, Tailândia, Índia, México, Argentina e Paquistão (Ram e Karuppaiyan 2021). </t>
  </si>
  <si>
    <t xml:space="preserve"> - modelo de otimização para o planejamento agregado da produção em usinas cooperadas do setor sucroenergético. Esta modelagem considera a relação hierárquica existente entre o planejamento anual da cooperativa e o planejamento tático de safra das usinas cooperadas. No nível de decisão da cooperativa, o modelo indica a meta de produção de cada usina e define a política de estocagem e de atendimento da demanda. No nível de decisão de uma usina cooperada, o modelo possibilita definir a quantidade de cana-de-açúcar colhida, a quantidade transportada por prestador de serviço, a seleção dos processos de produção de açúcar, álcool, melaço e energia elétrica</t>
  </si>
  <si>
    <t>- os modelos de programação linear e programação inteira mista</t>
  </si>
  <si>
    <t>-  GAMS, versão 22.7, com solver CPLEX 11</t>
  </si>
  <si>
    <t xml:space="preserve">-  pretende-se definir o mix de produção de cada unidade, a política de estocagem e de comercialização de toda a produção dos açúcares, dos alcoóis e dos melaços.
- Nível 1: A função objetivo 1 do modelo estratégico CRPAAA maximiza a margem de contribuição ao lucro da produção dos produtos p, em cada usina u, em todos os períodos t, considerando também os custos com a política de estoque e o atendimento da demanda.
- Nível 1: Este modelo determina a quantidade e o mix de produção (PUput) das usinas, a política de estoque (Ipet) e a política de atendimento da demanda (Dpt) da CRPAAA. Essas variáveis devem ser calculadas de forma que a margem de contribuição do grupo seja maximizada e as restrições de mercado, previsão de safra, capacidade de transporte das frotas e capacidade de estoque sejam respeitadas.
- Nível 2: A função objetivo 15 do modelo PASUC/N2 maximiza a margem de contribuição agroindustrial de produção dos produtos p, por meio dos processos k, da matéria-prima m, do tipo de transporte da matéria-prima f, em todos os períodos t, considerando a remuneração decorrente da participação percentual do resultado obtido pela CRPAAA e incluindo a receita de energia exportada.
</t>
  </si>
  <si>
    <t>-  O modelo adota um horizonte de planejamento de médio prazo (período de um ano)
- No primeiro nível (planejamento da CRPAAA para o ano safra), tem-se um modelo de PL, multiproduto, dois estágios, dinâmico, capacitado, com horizonte de planejamento anual e agregação temporal mensal. No segundo nível (planejamento da USC para os meses de safra), tem-se um modelo de PIM monoestágio, multiprocesso (ou multiproduto), dinâmico e que combina decisões de dimensionamento e sequenciamento de lotes para o atendimento das metas do primeiro nível hierárquico.
- o modelo proposto possui um primeiro nível (mais estratégico) de planejamento agregado, com horizonte de planejamento de um ano safra
- No segundo nível (tático) do modelo de planejamento agregado, o horizonte passa a ser o período de safra ou um subperíodo dele, dividido em períodos semanais, e existe uma menor agregação com relação ao nível de análise dos processos produtivos da empresa.</t>
  </si>
  <si>
    <t>- Atualmente não são utilizados recursos de otimização para auxiliar nessas atividades da CRPAAA. Este planejamento é executado com base no histórico
de produção das usinas, nas informações do mercado de açúcar e álcool e na relação comparativa entre o preço dos produtos pertencentes ao mix da cooperativa.</t>
  </si>
  <si>
    <t>- Modelo considera consumo de vapor na planta, balanço térmico e energético</t>
  </si>
  <si>
    <t>- 4.3.5. Parâmetros do cálculo da matriz de rendimentos (Apkt)
- Apresenta os calculos de rendimento e conversão, pureza, recuperação de açúcar, sacarose, melaço, rendimento industrial... com referências</t>
  </si>
  <si>
    <t>-  otimização para a programação e o sequenciamento das frentes de colheita de cana-de-açúcar foram propostos. Esse é um problema agrícola e logístico complexo que envolve vários fatores, tais como o estágio de maturação da matéria-prima, a colheita na unidade agrícola e o transporte dessa matéria-prima para a unidade industrial, bem como a capacidade de moagem da unidade industrial.</t>
  </si>
  <si>
    <t>- Agregação de blocos, heurística construtiva (Relax-and-fix), heurística de melhoria (Fix-and-optimize)
- problema geral de dimensionamento e sequenciamento de lotes com linhas de produção em paralelo (GLSPPL – General Lot-sizing and Scheduling Problem for Parallel Production Lines) 
- métodos baseados em heurísticas PIM para resolver esse modelo em uma situação real de uma safra de uma empresa típica do setor, inspirados em uma heurística de agregação de blocos de colheita, em heurísticas de construção do tipo relax-and-fix e heurísticas de melhoria do tipo fix-and-optimize.
- utiliza um modelo de PIM para representar o problema de programação e sequenciamento de frentes de colheita de cana-de-açúcar e propõe métodos heurísticos para sua resolução em situações reais, envolvendo três heurísticas integradas: uma heurística de agregação de blocos de colheita, uma heurística construtiva baseada na heurística de PIM relax-and-fix e uma heurística de melhoria baseada na heurística de PIM fix-and-optimize. 
- A primeira etapa do método proposto foi de agregação dos blocos de colheita, de tal forma que não se descaracterizassem variáveis como a distância do bloco em relação à usina e o potencial de colheita. A segunda etapa envolveu proposição de métodos heurísticos baseados em PIM, como relax-and-fix, para construir uma boa solução inicial factível. A terceira etapa envolveu a utilização do método fix-and-optimize, para buscar a melhoria da solução construída na etapa 2</t>
  </si>
  <si>
    <t>- Planejamento de colheita e transporte</t>
  </si>
  <si>
    <t>- GAMS versão 24.1.3, utilizando-se como solver o CPLEX 12.5.1.0</t>
  </si>
  <si>
    <t>- A Função Objetivo 1 avalia o impacto dos custos de falha na moagem, cana bisada e deslocamento das frentes de colheita, que também é considerado, embora seja de segunda ordem se comparado aos outros dois</t>
  </si>
  <si>
    <t xml:space="preserve">- No caso da empresa estudada, que é uma usina de médio porte, ela possuía para a safra estudada cinco frentes de colheita, oito meses de safra (macroperíodos), com 200 dias efetivos de safra e um tempo de permanência médio de três dias da frente por bloco. </t>
  </si>
  <si>
    <t>- Planejamento agregado de produção (APP) - aggregate production planning
- modelo de programação de metas fuzzy (FGP) para abordar o problema de planejamento no ambiente de trabalho, especialmente no campo da produção, e os fatores que afetam o planejamento da produção.
- Este artigo teve como objetivo resolver o problema do planejamento de produção agregada em corporações gerais para a indústria açucareira, de uma forma que ajude os tomadores de decisão a tomar decisões apropriadas, especialmente sob o ambiente fuzzy em que todas as empresas de produção de açúcar operam, identificando variáveis de decisão, níveis de aspiração e tolerância. 
- Portanto, a produção de beterraba para a indústria açucareira no país é considerada um dos principais pilares neste setor, mas esta produção cobre apenas (20%) da necessidade do estado</t>
  </si>
  <si>
    <t xml:space="preserve">- modelo de programação de metas fuzzy (FGP)
- fuzzy goal programming (FGP) </t>
  </si>
  <si>
    <t>-  tolerance approach to FGP</t>
  </si>
  <si>
    <t>- O primeiro passo para entender o problema do estudo é entender o mapa do processo industrial do empreendimento, que inclui as subdivisões do fluxo da beterraba e as etapas pelas quais a beterraba passa, dividido em cinco etapas: pesagem, moagem (bagaço), clarificação, evaporação, cristalização
- eficiência de cada estágio do processo de produção é estimada conhecendo a quantidade de desperdício e os períodos de espera durante o processo de fabricação.</t>
  </si>
  <si>
    <t>-  programa GAMS</t>
  </si>
  <si>
    <t>-  reduzir o custo de produção e armazenamento e a mudança no nível da força de trabalho
- Notamos que a primeira função objetivo consiste em duas partes. A primeira parte inclui o custo unitário de produção do produto (i) no período (t), e a segunda parte inclui o custo total necessário para usar as variáveis da força de trabalho durante o período (t).
- Multiobjetivo: Minimizar os custos totais de produção; Minimizar os custos totais de armazenamento;  Minimizar as alterações nos níveis de mão-de-obra</t>
  </si>
  <si>
    <t>- O prazo médio é limitado a um período de 3 a 18 meses</t>
  </si>
  <si>
    <t>- O prazo médio é limitado a um período de 3 a 18 meses, no qual os melhores níveis de produção, mão de obra e níveis de estoque são determinados para cada período de planejamento, levando em consideração todos os recursos e capacidades de produção para atender à demanda esperada para um determinado produto ou grupo de produtos, levando em consideração a qualidade da produção consistente com o objetivo do nosso estudo atual. A diferença entre a definição de planejamento de produção e APP é que quando o planejamento é 'agregado', isso indica que ele não se concentra em um tipo específico de produto ou serviço, mas sim combina categorias homogêneas de produtos ou serviços em grupos sem se referir aos detalhes exatos do produto ou serviço.
- referência sobre lógica Fuzzy</t>
  </si>
  <si>
    <t>- planejamento de produção estocástico para uma cadeia de suprimentos de biocombustíveis sob incertezas de demanda e preço. A cadeia de suprimentos consiste em fornecedores de biomassa, plantas de refinaria de biocombustíveis e centros de distribuição.
- Decisões como a quantidade de matérias-primas compradas, a quantidade de matérias-primas consumidas e a quantidade de produtos produzidos são consideradas.
- uma cadeia de suprimentos representativa para uma usina de etanol em Dakota do Norte é considerada</t>
  </si>
  <si>
    <t xml:space="preserve">- stochastic linear programming model
- programação linear estocástico é proposto dentro de uma estrutura de planejamento de período único para maximizar o lucro esperado.
- - A stochastic linear programming model is proposed, and the uncertainties are incorporated in the demand and price of the finished products.
- Um modelo de programação linear estocástica é proposto, e as incertezas são incorporadas na demanda e no preço dos produtos acabados.
- Primeiro, apresentaremos um modelo determinístico para fins de comparação e, em seguida, proporemos um modelo estocástico para obter lucro esperado mais alto. </t>
  </si>
  <si>
    <t>- O problema é modelado como um problema de programação estocástica, com decisões importantes como volume de produção de produtos, quantidade de matéria-prima adquirida e a quantidade de matéria-prima consumida.
- a primeira fase decisões são a quantidade inicial de matérias-primas compradas, volumes de produtos finais a serem produzidos e a matéria-prima consumida.
- Decisões como a quantidade de produtos finais vendidos, pendências e vendas perdidas são consideradas decisões de segundo estágio. Isto significa adiar o resto das decisões para o próximo período após a realização da incerteza. 
- a cadeia de suprimentos consiste em três camadas: fontes de matérias-primas de biomassa, plantas de refino de biocombustíveis e centros de distribuição.</t>
  </si>
  <si>
    <t>- O problema é resolvido usando programas MATLAB e GAMS</t>
  </si>
  <si>
    <t>- modelo de programação estocástica robusta aplicado ao planejamento agregado da produção em usinas cooperadas do setor sucroenergético. Esta modelagem considera a relação hierárquica existente entre o planejamento anual da cooperativa e o planejamento tático de safra das usinas cooperadas, além de contemplar importantes incertezas existentes nos parâmetros de entrada do modelo</t>
  </si>
  <si>
    <t xml:space="preserve">- modelo de programação estocástica robusta
- Para resolver os problemas de programação linear e programação inteira mista </t>
  </si>
  <si>
    <t>- Neste artigo, a incorporação de incertezas no processo de planejamento é feita por meio da aplicação da técnica de programação estocástica robusta, inicialmente proposta por Mulvey, Vanderbei e Zenios (1995).
- integração de conceitos de programação de metas e de programação estocástica em dois estágios com recurso
- Incerteza nos preços dos produtos (PASUC/N1-M-VP)
- Incerteza na matriz de rendimentos industriais (PASUC/N2-M-A)</t>
  </si>
  <si>
    <t>- Indústria</t>
  </si>
  <si>
    <t>-  linguagem de modelagem GAMS, versão 22.7, com o solver CPLEX 11</t>
  </si>
  <si>
    <t>-  planejamento anual da cooperativa e o planejamento tático de safra das usinas cooperadas</t>
  </si>
  <si>
    <t>Na última linha da tabela de classificação, fazer a classificação do artigo</t>
  </si>
  <si>
    <t>MO</t>
  </si>
  <si>
    <t>Abordagem de modelagem</t>
  </si>
  <si>
    <t>- Solver</t>
  </si>
  <si>
    <t xml:space="preserve">- Programação linear inteira mista com otimização robusta
- Modelo linear
- Abordagem de otimização robusta com dois parâmetros de incerteza (1º preço nominal dos produtos fabricados e vendidos; 2º matriz de rendimentos industrial) </t>
  </si>
  <si>
    <t>- branch-and-price
- Geração do limite inferior com heurística?
- Dual stabilization</t>
  </si>
  <si>
    <t>-Solver</t>
  </si>
  <si>
    <t>-Solver
- método ponderado por associação
- Pareto</t>
  </si>
  <si>
    <t>- Produção de bioetanol 
- Aquisição de matéria-prima, embalagem e transporte da matéria até a usina de bioetanol
- A usina de bioetanol adquire as matérias-primas
dos fornecedores de acordo com a demanda de produção.
(Suprimentos..)
 - custo de compra, armazenamento da matéria, transporte, pré-tratamento, armazenamento do produto intermediário e fermentação do etanol</t>
  </si>
  <si>
    <t>-GAMS</t>
  </si>
  <si>
    <t>- stochastic optimization model
x- mixed multi-stage stochastic optimization model
- Este artigo propõe uma abordagem de programação estocástica multiestágio mista para planejamento de produção de bioetanol sob a incerteza híbrida de demanda e rendimento.</t>
  </si>
  <si>
    <t>- Método heurístico não exato
x
- um algoritmo heurístico baseado na seleção de avanço rápido é projetado para simplificar a decomposição da árvore de cenários híbridos em larga escala no cenário misto de vários estágios problema de programação estocástica.
- To deal with the large-scale scenario tree induced by modelling the hybrid uncertainty, a heuristic algorithm based on fast forward selection is developed to effectively reduce the efforts in searching the redundant scenarios.
- Para otimizar o modelo com base na árvore de cenário, este artigo propõe suposições de distribuição de probabilidade, e estima parâmetros de demanda e rendimento com base em dados históricos.
- A quarta parte é propor uma abordagem de solução heurística baseada na estratégia de seleção fast-forward para resolver eficientemente o modelo de programação estocástica multiestágio incerto.
- O modelo de otimização depende principalmente do número de cenários. Portanto, usar um subconjunto muito menor do que o número de árvores de cenário originais para representar o conjunto de cena original reduzirá muito a complexidade computacional. Alternativamente, estratégias de seleção para frente e para trás fornecem ferramentas eficientes e pesquisam os cenários. O método principal é comparar a diferença entre a média, variância e assimetria de cada cenário e o valor médio, e selecionar o cenário com a menor diferença para reduzir e, finalmente, reduzir o número total de cenários.</t>
  </si>
  <si>
    <t>-verificar se é Solver com solução ótima ou uma busca de soluções não exatas</t>
  </si>
  <si>
    <t>- Fuzzy mixed integer linear programing (MILP)
x- programação inteira mista
- Mixed integer programming</t>
  </si>
  <si>
    <t>- Heurística com Benders, com método de Monte Carlo
x- Benders decomposition (BD) with Monte Carlo simulation technique 
- A decomposição de Benders (BD) com técnica de simulação de Monte Carlo é aplicada para resolver o modelo proposto
- uma estrutura de simulação é desenvolvida para comparar os desempenhos do modelo determinístico e do modelo estocástico proposto
- A decomposição de Benders é capaz de resolver programação matemática em larga escala, especialmente em casos estocásticos, dada uma certa estrutura de bloco. Os problemas são divididos em problemas principais e subproblemas, onde o problema principal contém a parte determinística, e o subproblema tem a parte estocástica. Ao resolver o subproblema, a técnica de simulação de Monte Carlo é aplicada a cenários aleatórios gerais.</t>
  </si>
  <si>
    <t>MILP-RO</t>
  </si>
  <si>
    <t>MILP</t>
  </si>
  <si>
    <t>SLP-RO</t>
  </si>
  <si>
    <t>MILP-MO</t>
  </si>
  <si>
    <t>Não faz simulação, excluir</t>
  </si>
  <si>
    <t>MINLP</t>
  </si>
  <si>
    <t>AGR-IND-COM</t>
  </si>
  <si>
    <t>ART-Abordagem</t>
  </si>
  <si>
    <t>ART-Técnicas</t>
  </si>
  <si>
    <t>ART-Etapa</t>
  </si>
  <si>
    <t>ART-Plataf</t>
  </si>
  <si>
    <t>ART-Objetivo</t>
  </si>
  <si>
    <t>ART-Decisão</t>
  </si>
  <si>
    <t>-Maximizar o lucro total
- Minimizar as emissões de carbono</t>
  </si>
  <si>
    <t>-Minimizar custos transporte, instalação, importação de matéria-prima, produção, estoque
-Minimizar emissões de carbono</t>
  </si>
  <si>
    <t>- multi-objetivo
- MILP proposto para minimizar custos e redução de CO2 simultâneamente
- O objetivo do planejamento é minimizar o custo total e a emissão de CO2 e rede de cadeia de fornecimento de bioetanol à base de bagaço simultaneamente</t>
  </si>
  <si>
    <t>- mixed integer linear programming (MILP)
- multi-objetivo</t>
  </si>
  <si>
    <t>- mixed integer linear programming (MILP) 
- bi-objetivo</t>
  </si>
  <si>
    <t>- Tático e Operacional</t>
  </si>
  <si>
    <t>-Tático
- Operacional</t>
  </si>
  <si>
    <t>-Maximizar produção sacarose e fibra</t>
  </si>
  <si>
    <t>AGR</t>
  </si>
  <si>
    <t>- Heurísticas relax-and-fix e fix-and-optimize</t>
  </si>
  <si>
    <t>GP</t>
  </si>
  <si>
    <t>MINLP-MO</t>
  </si>
  <si>
    <t>Remover duplicado</t>
  </si>
  <si>
    <t>Utilizar na referência da revisão sistemática</t>
  </si>
  <si>
    <t>SLP</t>
  </si>
  <si>
    <t>GP-MCMI</t>
  </si>
  <si>
    <t>GP-FL</t>
  </si>
  <si>
    <t>MILP-FL</t>
  </si>
  <si>
    <t>- Minimizar custo total de colheita e transporte
- Minimizar o tempo total de colheita</t>
  </si>
  <si>
    <t>- Descrever multiobjetivo conflitante</t>
  </si>
  <si>
    <t>- captura nosso objetivo de minimizar o custo total incorrido pela propriedade dos conjuntos de equipamentos de carga e tratores-reboques, instalação de SSLs, mobilização de equipamentos, embarque de biomassa de SSLs para a usina de bioenergia e instalação de conjuntos de equipamentos de carga</t>
  </si>
  <si>
    <t>- Minimizar custo total</t>
  </si>
  <si>
    <t>- Maximizar a produção total de açúcar cristal
- Maximizar a produção total de açúcar VVHP
- Maximizar a produção total de açúcar VHP
- Maximizar a produção total de etanol
- Minimizar os custos totais de armazenamento
- Minimizar os custos totais de transporte de matéria-prima dos fornecedores
- Minimizar os custos totais de matéria-prima dos fornecedores
- Minimizar os custos totais de processamento de matéria-prima
- Minimizar os custos totais de distribuição aos clientes</t>
  </si>
  <si>
    <t>Multiobjetivo
- Modelo 1: maximizar o lucro de venda de todos os produtos de todas as fábricas e a energia exportada ao longo do horizonte de planejamento considerando custos de produção e armazenagem
- Maximizar a margem de contribuição da cooperativa (todas as usinas)
- Maximizar a margem de contribuição de cada usina
**
- O V Ppt é um parâmetro de marketing que está dentro da função objetivo do PASUC/L1 e corresponde aos preços do açúcar e dos álcoois (índice p por produto) sujeitos aos derivativos das flutuações do mercado ao longo do tempo (índice t para mês), cuja análise de incerteza é criticamente importante para a lucratividade do negócio
- O parâmetro Apkw é o matriz de rendimentos industriais em PASUC/L2. Representa o rendimento do produto p fabricado a partir do processo k na usina na semana w. A indexação por períodos (índice w para semana) traz para o modelo as características agrícolas e industriais, que variam ao longo da temporada de colheita, como o açúcar total recuperável (ATR) (parâmetro T RSuw) na usina u, o teor de fibra da cana-de-açúcar do fornecedor m (Fibermw) e o tempo útil de operação da moagem (ÿw) ao longo das semanas do horizonte de planejamento.
- A função objetivo (1) do PASUC/L1 maximiza o lucro para o máximo esperado demanda (Dpt) da venda de todos os produtos produzidos em todas as fábricas ao longo dos períodos no horizonte de planejamento, considerando também os custos de produção e aqueles derivados da política de armazenagem
- A função objetivo (22) maximiza a receita da venda de todos os produtos e energia exportados para a rede de um moinho associado à cooperativa do moinho, deduzindo os custos de produção e logística</t>
  </si>
  <si>
    <t>-Maximizar lucro de venda dos produtos
- Maximizar receitas</t>
  </si>
  <si>
    <t>-Maximizar receita variável total de todos os setores agroindustriais e etapas da usina</t>
  </si>
  <si>
    <t>-Maximizar a margem de contribuição ao lucro da produção de todos os produtos em todas as usinas e em todos os períodos
- Maximizar a margem de contribuição da produção por meio dos processos, da matéria-prima e do tipo de transporte da matéria-prima, em todos os períodos
** incluindo as incertezas do preço de venda e da eficiência industrial</t>
  </si>
  <si>
    <t>- A medida de desempenho é maximizar o lucro líquido calculado como os benefícios das vendas menos o custo anual total, dado por instalação de plantas, investimento, produção e transporte custos
- A função objetivo é a maximização do lucro líquido anual benefício (ANB) dado pela receita de vendas menos o total anual custo que considera o custo de instalação, o custo de investimento e o custo de transporte, descritos a seguir:
- receita de vendas
- custo de instalação:  custo de instalação da planta
- custo de investimento: coeficientes de custo adequados para o estágio j, planta f, para levar em conta a amortização, um fator de encargo de capital no horizonte temporal
- custo de transporte: transporte de matérias-primas e produtos
- custo de cana-de-açúcar: Este custo abrange o cultivo da cana, a colheita, o transporte, fertilização e trabalho de campo relacionado
- custo operacional: considera um custo por tonelada de produto produzido em cada planta
- a) O projeto do SC: (i) localização das unidades de produção; (ii) fornecimento de melaço de cada planta de cana-de-açúcar; (iii) etanol e produção de leveduras em cada planta instalada; e, (iv) matéria-prima fluxos de materiais e produtos entre nós SC.
b) O projeto de cada uma das plantas instaladas:
c) O planejamento detalhado da produção de cada unidade de etanol/planta de levedura</t>
  </si>
  <si>
    <t>- Maximizar o lucro</t>
  </si>
  <si>
    <t>- Minimizar custo total de produção
- Minimizar o custo de produção de bioetanol e custos de matéria-prima, armazenamento e pedidos em atraso</t>
  </si>
  <si>
    <t>ART-Incerteza</t>
  </si>
  <si>
    <t>-Demanda
- Rendimento</t>
  </si>
  <si>
    <t>- Miminizar custos com perdas de moagem, perdas de colheita, mudança de frente</t>
  </si>
  <si>
    <t>-Metas de custo e produção</t>
  </si>
  <si>
    <t>- Um MCMIGP é desenvolvido para resolver o problema de planejamento de produção agregada para a empresa de moagem de açúcar e etanol.
- (1) Custo variável (GOALh1;GOALh2;GOALh3;GOALh4;GOALh5);
- (2) Produção (GOALc1;GOALc2;GOALc3;GOALc4).
- GOALh1 Custo de armazenamento desejado [$];
- GOALh2 Custo de transporte de matéria-prima desejado [$];
- GOALh3 Custo de matéria-prima desejado [$];
- GOALh4 Custo de processamento de matéria-prima desejado [$];
- GOALh5 Custo de provedor de transporte desejado [$];
- GOALh6 Custo de coproduto desejado [$];
- GOALc1 Produção desejada de açúcar VHP [tonelada];
- GOALc2 Produção desejada de açúcar VVHP [tonelada];
- GOALc3 Produção desejada de açúcar cristal [tonelada];
- GOALc4 Produção desejada de AEHC [m3];
- GOALc5 Produção desejada de energia [MW].</t>
  </si>
  <si>
    <t>-Maximizar lucro líquido total</t>
  </si>
  <si>
    <t>- A função objetivo adotada é a maximização do benefício líquido total dado pela expressão: onde Qit é o período de produção do produto i e pit seu preço de venda, e Vj representa o tamanho dos fermentadores
- os recursos r são melaço (M), suco de filtro (FJ), vinhaça de destilaria (DV) e água doce (FW)</t>
  </si>
  <si>
    <t>- Minimizar custo total
- Custos aquisição matéria-prima, instalação, estoque, penalidade por emissões de carbono, uso excessivo de água</t>
  </si>
  <si>
    <t>- minimizar o custo total anualizado
- minimizar as emissões de carbono
- maximizar o número de empregos locais acumulados</t>
  </si>
  <si>
    <t>-Maximizar a colheita nos períodos mais favoráveis
- Minimizar deslocamento das frentes de colheita
- Minimizar custos de deslocamento da frente, perda de moagem e de não colher matéria-prima</t>
  </si>
  <si>
    <t>-Maximizar o lucro da colheita, no melhor período, maior quantidade prevista de açúcar recuperável</t>
  </si>
  <si>
    <t xml:space="preserve">- maximiza a margem de contribuição ao lucro da produção dos produtos
- maximiza a margem de contribuição agroindustrial de produção dos produtos p, por meio dos processos k, da matéria-prima m, do tipo de transporte da matéria-prima f, em todos os períodos t, incluindo a receita de energia exportada.
</t>
  </si>
  <si>
    <t>- Minimiza os custos de falha na moagem, cana bisada e deslocamento das frentes de colheita</t>
  </si>
  <si>
    <t>- Minimizar os custos totais de produção
- Minimizar os custos totais de armazenamento
- Minimizar as alterações nos níveis de mão-de-obra</t>
  </si>
  <si>
    <t>- O objetivo do problema é maximizar o lucro da planta de biorrefinaria considerando decisões como: (1) a quantidade de matérias-primas compradas de cada fornecedor, (2) a quantidade de produtos produzidos, (3) a quantidade de produtos vendidos, (4) a quantidade de matérias-primas consumidas e (5) os produtos finais e o estoque de matérias-primas deixados no primeiro estágio
- programação linear estocástico é proposto dentro de uma estrutura de planejamento de período único para maximizar o lucro esperado
- O objetivo deste artigo é maximizar o lucro de um sistema de cadeia de suprimentos multiproduto, de período único e três escalões, sujeito a incertezas nas demandas e preços dos produtos finais.
- A função objetivo (1) maximizar o lucro, que é igual à receita menos o custo total. A receita inclui o total vendas de biocombustível e subprodutos. O custo total consiste no custo de compra de matérias-primas, no custo de transporte para matérias-primas e produtos finais, e nos custos de manutenção de estoque para matérias-primas e produtos finais. Outros custos são o custo de vendas com perdas e custos de pedidos em carteira, bem como o custo de processamento de matérias-primas em produtos finais.
- A função objetivo (Eq. (12)) é maximizar o lucro esperado, que pode ser obtido subtraindo o custo total esperado da receita esperada. Devido às demandas e preços incertos dos produtos finais, a primeira parte da Eq. (12) é usada para calcular a receita esperada considerando a probabilidade de cada cenário. O custo total compreende o custo de compra de matérias-primas, o custo de transporte de matérias-primas, o custo de produção de produtos finais, o custo esperado de manutenção de estoque de matérias-primas e produtos finais, vendas perdidas esperadas e o custo esperado de backlog.</t>
  </si>
  <si>
    <t>- Demandas e preços dos produtos</t>
  </si>
  <si>
    <t>- Preços e rendimento industrial</t>
  </si>
  <si>
    <t>-  incorpora a modelagem de programação estocástica robusta, com características de programação multiobjetivo
*** do artigo de 2009 referente ao modelo do artigo PASUC/N1 e PASUC/N2 ***
- A função objetivo (1) maximiza a receita variável total de todos os setores agroindustriais. etapas da usina. Esta função objetivo auxilia o tomador de decisão a determinar a quantidade de cana-de-açúcar moída, a seleção de fornecedores de cana-de-açúcar, a seleção de cana-de-açúcar fornecedores de transporte, a seleção do processo industrial utilizado na produção de açúcar, etanol e melaço e as decisões de armazenagem relacionadas aos produtos finais visando atingir a receita máxima em toda a temporada de colheita</t>
  </si>
  <si>
    <t>- Maximiza a receita variável de todos os setores agroindustriais</t>
  </si>
  <si>
    <t>Comercialização</t>
  </si>
  <si>
    <t>Agrícola</t>
  </si>
  <si>
    <t>Operacional</t>
  </si>
  <si>
    <t>Estratégico</t>
  </si>
  <si>
    <t>Tático</t>
  </si>
  <si>
    <t>Industrial</t>
  </si>
  <si>
    <t>669 mil unidades monetárias</t>
  </si>
  <si>
    <t>GAMS</t>
  </si>
  <si>
    <t>LINGO</t>
  </si>
  <si>
    <t>GAMS/CPLEX</t>
  </si>
  <si>
    <t>GAMS/MATLAB</t>
  </si>
  <si>
    <t>LINGO/MATLAB</t>
  </si>
  <si>
    <t>JUMP/CPLEX</t>
  </si>
  <si>
    <t>ILOG/CPLEX</t>
  </si>
  <si>
    <t>34 demais autores (Países diversos)</t>
  </si>
  <si>
    <t>ID</t>
  </si>
  <si>
    <t>Autores</t>
  </si>
  <si>
    <t>Abordagem Primpária</t>
  </si>
  <si>
    <t>Abordagem Secundária</t>
  </si>
  <si>
    <t>FL</t>
  </si>
  <si>
    <t>MCMI</t>
  </si>
  <si>
    <t>RO</t>
  </si>
  <si>
    <t>Plataforma de Resolução</t>
  </si>
  <si>
    <t>Não Especificado</t>
  </si>
  <si>
    <t>País Autor Principal</t>
  </si>
  <si>
    <t>Objetivo Primário</t>
  </si>
  <si>
    <t>Objetivo Secundário</t>
  </si>
  <si>
    <t>Min-C</t>
  </si>
  <si>
    <t>ARM</t>
  </si>
  <si>
    <t>ARM, IND</t>
  </si>
  <si>
    <t>AGR, ARM, IND, MP</t>
  </si>
  <si>
    <t>AGR, INST</t>
  </si>
  <si>
    <t>ARM, MP, INST</t>
  </si>
  <si>
    <t>AGR, ARM, IND, MP, INST</t>
  </si>
  <si>
    <t>ARM, IND, MP, COM</t>
  </si>
  <si>
    <t>AGR, ARM, IND, INST, COM</t>
  </si>
  <si>
    <t>AGR, ARM, IND, MP, COM</t>
  </si>
  <si>
    <t>Max-LR</t>
  </si>
  <si>
    <t>Min-C, Max-P</t>
  </si>
  <si>
    <t>Max-P</t>
  </si>
  <si>
    <t>Min-C, Min-IA</t>
  </si>
  <si>
    <t>Max-LR, Min-IA</t>
  </si>
  <si>
    <t>Min-C, Min-T-AGR</t>
  </si>
  <si>
    <t>Min-C, Max-P, Min-T-AGR</t>
  </si>
  <si>
    <t>Min-C, Min-MO</t>
  </si>
  <si>
    <t>Min-C, Min-IA, Max-EMP</t>
  </si>
  <si>
    <t>Etapa da Cadeia Produtiva</t>
  </si>
  <si>
    <t>IND</t>
  </si>
  <si>
    <t>AGR, IND</t>
  </si>
  <si>
    <t>AGR, IND, COM</t>
  </si>
  <si>
    <t>IND, COM</t>
  </si>
  <si>
    <t>AGR, EST</t>
  </si>
  <si>
    <t>AGR, IND, EST</t>
  </si>
  <si>
    <t>EST</t>
  </si>
  <si>
    <t>AGR, IND, COM, EST</t>
  </si>
  <si>
    <t>Nível de Decisão</t>
  </si>
  <si>
    <t>TA</t>
  </si>
  <si>
    <t>OP</t>
  </si>
  <si>
    <t>TA, ES</t>
  </si>
  <si>
    <t>Silva A.F. da; Marins F.A.S.; Barra Montevechi J.A.</t>
  </si>
  <si>
    <t>Jounal</t>
  </si>
  <si>
    <t>SJR</t>
  </si>
  <si>
    <t>Palavras-chave autor</t>
  </si>
  <si>
    <t>Coautor</t>
  </si>
  <si>
    <t>Principal</t>
  </si>
  <si>
    <t>Tipo</t>
  </si>
  <si>
    <t>D - Duplicado</t>
  </si>
  <si>
    <t>Mixed Integer Linear Programming</t>
  </si>
  <si>
    <t>Multi-Objective</t>
  </si>
  <si>
    <t>Robust Optimization</t>
  </si>
  <si>
    <t>Fuzzy Logic</t>
  </si>
  <si>
    <t>Mixed Integer Non-Linear Programming</t>
  </si>
  <si>
    <t>Goal Programming</t>
  </si>
  <si>
    <t>Multi-Choice Mixed Integer</t>
  </si>
  <si>
    <t>Stochastic Linear Programming</t>
  </si>
  <si>
    <t>Abordagem Primária</t>
  </si>
  <si>
    <t>Plataforma Resolução</t>
  </si>
  <si>
    <t>GA</t>
  </si>
  <si>
    <t>CP</t>
  </si>
  <si>
    <t>JU</t>
  </si>
  <si>
    <t>JUMP</t>
  </si>
  <si>
    <t>Ilog</t>
  </si>
  <si>
    <t>Li</t>
  </si>
  <si>
    <t>Lingo</t>
  </si>
  <si>
    <t>Ma</t>
  </si>
  <si>
    <t>Matlab</t>
  </si>
  <si>
    <t>IBM Ilog</t>
  </si>
  <si>
    <t>Objetivo Principal</t>
  </si>
  <si>
    <t>Minimização de custos</t>
  </si>
  <si>
    <t>Maximização produção</t>
  </si>
  <si>
    <t>Maximização lucros ou receitas</t>
  </si>
  <si>
    <t>Min-IA</t>
  </si>
  <si>
    <t>Min-T-AGR</t>
  </si>
  <si>
    <t>Max-EMP</t>
  </si>
  <si>
    <t>Min-MO</t>
  </si>
  <si>
    <t>Minimização de mão de obra</t>
  </si>
  <si>
    <t>Maximização de empregos</t>
  </si>
  <si>
    <t>Minimização tempo operações agrícolas</t>
  </si>
  <si>
    <t>Minimização impactos ambientais</t>
  </si>
  <si>
    <t>Operações agrícolas</t>
  </si>
  <si>
    <t>Estoque e armazenagem</t>
  </si>
  <si>
    <t>Operações industriais</t>
  </si>
  <si>
    <t>MP</t>
  </si>
  <si>
    <t>Aquisição de matéria-prima</t>
  </si>
  <si>
    <t>INST</t>
  </si>
  <si>
    <t>Estruturas e instalações</t>
  </si>
  <si>
    <t>COM</t>
  </si>
  <si>
    <t>Etapa cadeia produtiva</t>
  </si>
  <si>
    <t>Estrutural</t>
  </si>
  <si>
    <t>ES</t>
  </si>
  <si>
    <t>Sigla</t>
  </si>
  <si>
    <t>Descrição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</si>
</sst>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rgb="FFFF0000"/>
        <bgColor indexed="64"/>
      </patternFill>
    </fill>
    <fill>
      <patternFill patternType="solid">
        <fgColor theme="3"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4">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16" fillId="0" borderId="0" xfId="0" applyFont="1" applyAlignment="1">
      <alignment horizontal="center" vertical="center"/>
    </xf>
    <xf numFmtId="0" fontId="16"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35" borderId="0" xfId="0" applyFill="1"/>
    <xf numFmtId="0" fontId="0" fillId="35" borderId="0" xfId="0" applyFill="1" applyAlignment="1">
      <alignment horizontal="left"/>
    </xf>
    <xf numFmtId="0" fontId="0" fillId="35" borderId="0" xfId="0" applyFill="1" applyAlignment="1">
      <alignment vertical="center" wrapText="1"/>
    </xf>
    <xf numFmtId="0" fontId="16" fillId="0" borderId="0" xfId="0" applyFont="1" applyAlignment="1">
      <alignment vertical="center" wrapText="1"/>
    </xf>
    <xf numFmtId="0" fontId="0" fillId="0" borderId="0" xfId="0" quotePrefix="1" applyAlignment="1">
      <alignment vertical="center" wrapText="1"/>
    </xf>
    <xf numFmtId="0" fontId="0" fillId="33" borderId="0" xfId="0" quotePrefix="1" applyFill="1" applyAlignment="1">
      <alignment vertical="center" wrapText="1"/>
    </xf>
    <xf numFmtId="0" fontId="0" fillId="36" borderId="0" xfId="0" applyFill="1" applyAlignment="1">
      <alignment vertical="center" wrapText="1"/>
    </xf>
    <xf numFmtId="0" fontId="0" fillId="37" borderId="0" xfId="0" applyFill="1" applyAlignment="1">
      <alignment vertical="center" wrapText="1"/>
    </xf>
    <xf numFmtId="0" fontId="0" fillId="34" borderId="0" xfId="0" quotePrefix="1" applyFill="1" applyAlignment="1">
      <alignment vertical="center" wrapText="1"/>
    </xf>
    <xf numFmtId="0" fontId="16" fillId="0" borderId="0" xfId="0" applyFont="1"/>
    <xf numFmtId="0" fontId="14" fillId="0" borderId="0" xfId="0" quotePrefix="1" applyFont="1" applyAlignment="1">
      <alignment vertical="center" wrapText="1"/>
    </xf>
    <xf numFmtId="0" fontId="0" fillId="38" borderId="0" xfId="0" quotePrefix="1" applyFill="1" applyAlignment="1">
      <alignment vertical="center" wrapText="1"/>
    </xf>
    <xf numFmtId="0" fontId="0" fillId="33" borderId="0" xfId="0" applyFill="1" applyAlignment="1">
      <alignment vertical="center" wrapText="1"/>
    </xf>
    <xf numFmtId="0" fontId="0" fillId="38" borderId="0" xfId="0" applyFill="1" applyAlignment="1">
      <alignment vertical="center" wrapText="1"/>
    </xf>
    <xf numFmtId="0" fontId="0" fillId="0" borderId="0" xfId="0" applyAlignment="1">
      <alignment horizontal="center" vertical="center" wrapText="1"/>
    </xf>
    <xf numFmtId="0" fontId="16" fillId="0" borderId="10" xfId="0" applyFont="1" applyBorder="1"/>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rmal 2" xfId="42" xr:uid="{609DA18A-DFEF-4831-B55F-804E3BCE711C}"/>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61">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fgColor indexed="64"/>
          <bgColor indexed="65"/>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dxf>
    <dxf>
      <alignment horizontal="center" vertical="center" textRotation="0" wrapText="0" indent="0" justifyLastLine="0" shrinkToFit="0" readingOrder="0"/>
    </dxf>
    <dxf>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general" vertical="center" textRotation="0" wrapText="1" indent="0" justifyLastLine="0" shrinkToFit="0" readingOrder="0"/>
    </dxf>
    <dxf>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'Publicações por ano'!$B$1</c:f>
              <c:strCache>
                <c:ptCount val="1"/>
                <c:pt idx="0">
                  <c:v>Publicações</c:v>
                </c:pt>
              </c:strCache>
            </c:strRef>
          </c:tx>
          <c:spPr>
            <a:ln w="28575" cap="rnd">
              <a:solidFill>
                <a:schemeClr val="tx1"/>
              </a:solidFill>
              <a:round/>
            </a:ln>
            <a:effectLst/>
          </c:spPr>
          <c:marker>
            <c:symbol val="circle"/>
            <c:size val="5"/>
            <c:spPr>
              <a:solidFill>
                <a:schemeClr val="tx1"/>
              </a:solidFill>
              <a:ln w="9525">
                <a:solidFill>
                  <a:schemeClr val="tx1"/>
                </a:solidFill>
              </a:ln>
              <a:effectLst/>
            </c:spPr>
          </c:marker>
          <c:trendline>
            <c:spPr>
              <a:ln w="31750" cap="rnd">
                <a:solidFill>
                  <a:schemeClr val="tx1"/>
                </a:solidFill>
                <a:prstDash val="sysDot"/>
              </a:ln>
              <a:effectLst/>
            </c:spPr>
            <c:trendlineType val="linear"/>
            <c:dispRSqr val="0"/>
            <c:dispEq val="0"/>
          </c:trendline>
          <c:cat>
            <c:numRef>
              <c:f>'Publicações por ano'!$A$2:$A$17</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'Publicações por ano'!$B$2:$B$17</c:f>
              <c:numCache>
                <c:formatCode>General</c:formatCode>
                <c:ptCount val="16"/>
                <c:pt idx="0">
                  <c:v>2</c:v>
                </c:pt>
                <c:pt idx="1">
                  <c:v>0</c:v>
                </c:pt>
                <c:pt idx="2">
                  <c:v>1</c:v>
                </c:pt>
                <c:pt idx="3">
                  <c:v>1</c:v>
                </c:pt>
                <c:pt idx="4">
                  <c:v>3</c:v>
                </c:pt>
                <c:pt idx="5">
                  <c:v>3</c:v>
                </c:pt>
                <c:pt idx="6">
                  <c:v>1</c:v>
                </c:pt>
                <c:pt idx="7">
                  <c:v>0</c:v>
                </c:pt>
                <c:pt idx="8">
                  <c:v>1</c:v>
                </c:pt>
                <c:pt idx="9">
                  <c:v>1</c:v>
                </c:pt>
                <c:pt idx="10">
                  <c:v>3</c:v>
                </c:pt>
                <c:pt idx="11">
                  <c:v>1</c:v>
                </c:pt>
                <c:pt idx="12">
                  <c:v>2</c:v>
                </c:pt>
                <c:pt idx="13">
                  <c:v>1</c:v>
                </c:pt>
                <c:pt idx="14">
                  <c:v>2</c:v>
                </c:pt>
                <c:pt idx="15">
                  <c:v>1</c:v>
                </c:pt>
              </c:numCache>
            </c:numRef>
          </c:val>
          <c:smooth val="0"/>
          <c:extLst>
            <c:ext xmlns:c16="http://schemas.microsoft.com/office/drawing/2014/chart" uri="{C3380CC4-5D6E-409C-BE32-E72D297353CC}">
              <c16:uniqueId val="{00000001-73A6-48BD-A701-D108CF58D3B4}"/>
            </c:ext>
          </c:extLst>
        </c:ser>
        <c:dLbls>
          <c:showLegendKey val="0"/>
          <c:showVal val="0"/>
          <c:showCatName val="0"/>
          <c:showSerName val="0"/>
          <c:showPercent val="0"/>
          <c:showBubbleSize val="0"/>
        </c:dLbls>
        <c:marker val="1"/>
        <c:smooth val="0"/>
        <c:axId val="368477967"/>
        <c:axId val="368473647"/>
      </c:lineChart>
      <c:catAx>
        <c:axId val="36847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t-BR"/>
          </a:p>
        </c:txPr>
        <c:crossAx val="368473647"/>
        <c:crosses val="autoZero"/>
        <c:auto val="1"/>
        <c:lblAlgn val="ctr"/>
        <c:lblOffset val="100"/>
        <c:noMultiLvlLbl val="0"/>
      </c:catAx>
      <c:valAx>
        <c:axId val="368473647"/>
        <c:scaling>
          <c:orientation val="minMax"/>
          <c:max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t-BR"/>
          </a:p>
        </c:txPr>
        <c:crossAx val="3684779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'Publicações país pesquisadores'!$B$1</c:f>
              <c:strCache>
                <c:ptCount val="1"/>
                <c:pt idx="0">
                  <c:v>Coautores</c:v>
                </c:pt>
              </c:strCache>
            </c:strRef>
          </c:tx>
          <c:spPr>
            <a:solidFill>
              <a:schemeClr val="bg2">
                <a:lumMod val="75000"/>
              </a:schemeClr>
            </a:solidFill>
            <a:ln>
              <a:noFill/>
            </a:ln>
            <a:effectLst/>
          </c:spPr>
          <c:invertIfNegative val="0"/>
          <c:cat>
            <c:strRef>
              <c:f>'Publicações país pesquisadores'!$A$2:$A$11</c:f>
              <c:strCache>
                <c:ptCount val="10"/>
                <c:pt idx="0">
                  <c:v>Alemanha</c:v>
                </c:pt>
                <c:pt idx="1">
                  <c:v>Portugal</c:v>
                </c:pt>
                <c:pt idx="2">
                  <c:v>Jordânia</c:v>
                </c:pt>
                <c:pt idx="3">
                  <c:v>Chile</c:v>
                </c:pt>
                <c:pt idx="4">
                  <c:v>Síria</c:v>
                </c:pt>
                <c:pt idx="5">
                  <c:v>Irã</c:v>
                </c:pt>
                <c:pt idx="6">
                  <c:v>Argentina</c:v>
                </c:pt>
                <c:pt idx="7">
                  <c:v>China</c:v>
                </c:pt>
                <c:pt idx="8">
                  <c:v>Estados Unidos</c:v>
                </c:pt>
                <c:pt idx="9">
                  <c:v>Brasil</c:v>
                </c:pt>
              </c:strCache>
            </c:strRef>
          </c:cat>
          <c:val>
            <c:numRef>
              <c:f>'Publicações país pesquisadores'!$B$2:$B$11</c:f>
              <c:numCache>
                <c:formatCode>General</c:formatCode>
                <c:ptCount val="10"/>
                <c:pt idx="0">
                  <c:v>1</c:v>
                </c:pt>
                <c:pt idx="1">
                  <c:v>1</c:v>
                </c:pt>
                <c:pt idx="2">
                  <c:v>1</c:v>
                </c:pt>
                <c:pt idx="3">
                  <c:v>0</c:v>
                </c:pt>
                <c:pt idx="4">
                  <c:v>1</c:v>
                </c:pt>
                <c:pt idx="5">
                  <c:v>4</c:v>
                </c:pt>
                <c:pt idx="6">
                  <c:v>4</c:v>
                </c:pt>
                <c:pt idx="7">
                  <c:v>9</c:v>
                </c:pt>
                <c:pt idx="8">
                  <c:v>8</c:v>
                </c:pt>
                <c:pt idx="9">
                  <c:v>16</c:v>
                </c:pt>
              </c:numCache>
            </c:numRef>
          </c:val>
          <c:extLst>
            <c:ext xmlns:c16="http://schemas.microsoft.com/office/drawing/2014/chart" uri="{C3380CC4-5D6E-409C-BE32-E72D297353CC}">
              <c16:uniqueId val="{00000000-9C7A-4DC1-85C3-1B3C76FDC494}"/>
            </c:ext>
          </c:extLst>
        </c:ser>
        <c:ser>
          <c:idx val="1"/>
          <c:order val="1"/>
          <c:tx>
            <c:strRef>
              <c:f>'Publicações país pesquisadores'!$C$1</c:f>
              <c:strCache>
                <c:ptCount val="1"/>
                <c:pt idx="0">
                  <c:v>Autor principal</c:v>
                </c:pt>
              </c:strCache>
            </c:strRef>
          </c:tx>
          <c:spPr>
            <a:solidFill>
              <a:schemeClr val="tx1"/>
            </a:solidFill>
            <a:ln>
              <a:noFill/>
            </a:ln>
            <a:effectLst/>
          </c:spPr>
          <c:invertIfNegative val="0"/>
          <c:cat>
            <c:strRef>
              <c:f>'Publicações país pesquisadores'!$A$2:$A$11</c:f>
              <c:strCache>
                <c:ptCount val="10"/>
                <c:pt idx="0">
                  <c:v>Alemanha</c:v>
                </c:pt>
                <c:pt idx="1">
                  <c:v>Portugal</c:v>
                </c:pt>
                <c:pt idx="2">
                  <c:v>Jordânia</c:v>
                </c:pt>
                <c:pt idx="3">
                  <c:v>Chile</c:v>
                </c:pt>
                <c:pt idx="4">
                  <c:v>Síria</c:v>
                </c:pt>
                <c:pt idx="5">
                  <c:v>Irã</c:v>
                </c:pt>
                <c:pt idx="6">
                  <c:v>Argentina</c:v>
                </c:pt>
                <c:pt idx="7">
                  <c:v>China</c:v>
                </c:pt>
                <c:pt idx="8">
                  <c:v>Estados Unidos</c:v>
                </c:pt>
                <c:pt idx="9">
                  <c:v>Brasil</c:v>
                </c:pt>
              </c:strCache>
            </c:strRef>
          </c:cat>
          <c:val>
            <c:numRef>
              <c:f>'Publicações país pesquisadores'!$C$2:$C$11</c:f>
              <c:numCache>
                <c:formatCode>General</c:formatCode>
                <c:ptCount val="10"/>
                <c:pt idx="0">
                  <c:v>0</c:v>
                </c:pt>
                <c:pt idx="1">
                  <c:v>0</c:v>
                </c:pt>
                <c:pt idx="2">
                  <c:v>0</c:v>
                </c:pt>
                <c:pt idx="3">
                  <c:v>1</c:v>
                </c:pt>
                <c:pt idx="4">
                  <c:v>1</c:v>
                </c:pt>
                <c:pt idx="5">
                  <c:v>2</c:v>
                </c:pt>
                <c:pt idx="6">
                  <c:v>2</c:v>
                </c:pt>
                <c:pt idx="7">
                  <c:v>2</c:v>
                </c:pt>
                <c:pt idx="8">
                  <c:v>3</c:v>
                </c:pt>
                <c:pt idx="9">
                  <c:v>12</c:v>
                </c:pt>
              </c:numCache>
            </c:numRef>
          </c:val>
          <c:extLst>
            <c:ext xmlns:c16="http://schemas.microsoft.com/office/drawing/2014/chart" uri="{C3380CC4-5D6E-409C-BE32-E72D297353CC}">
              <c16:uniqueId val="{00000001-9C7A-4DC1-85C3-1B3C76FDC494}"/>
            </c:ext>
          </c:extLst>
        </c:ser>
        <c:dLbls>
          <c:showLegendKey val="0"/>
          <c:showVal val="0"/>
          <c:showCatName val="0"/>
          <c:showSerName val="0"/>
          <c:showPercent val="0"/>
          <c:showBubbleSize val="0"/>
        </c:dLbls>
        <c:gapWidth val="70"/>
        <c:axId val="1906001567"/>
        <c:axId val="1906003967"/>
      </c:barChart>
      <c:catAx>
        <c:axId val="1906001567"/>
        <c:scaling>
          <c:orientation val="minMax"/>
        </c:scaling>
        <c:delete val="0"/>
        <c:axPos val="l"/>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t-BR"/>
          </a:p>
        </c:txPr>
        <c:crossAx val="1906003967"/>
        <c:crosses val="autoZero"/>
        <c:auto val="1"/>
        <c:lblAlgn val="ctr"/>
        <c:lblOffset val="100"/>
        <c:noMultiLvlLbl val="0"/>
      </c:catAx>
      <c:valAx>
        <c:axId val="1906003967"/>
        <c:scaling>
          <c:orientation val="minMax"/>
          <c:max val="1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t-BR"/>
          </a:p>
        </c:txPr>
        <c:crossAx val="1906001567"/>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2">
          <a:lumMod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solidFill>
            <a:ln>
              <a:noFill/>
            </a:ln>
            <a:effectLst/>
          </c:spPr>
          <c:invertIfNegative val="0"/>
          <c:cat>
            <c:strRef>
              <c:f>'Publicações país aplicação'!$A$2:$A$7</c:f>
              <c:strCache>
                <c:ptCount val="6"/>
                <c:pt idx="0">
                  <c:v>Não especificado</c:v>
                </c:pt>
                <c:pt idx="1">
                  <c:v>Síria</c:v>
                </c:pt>
                <c:pt idx="2">
                  <c:v>Irã</c:v>
                </c:pt>
                <c:pt idx="3">
                  <c:v>China</c:v>
                </c:pt>
                <c:pt idx="4">
                  <c:v>Estados Unidos</c:v>
                </c:pt>
                <c:pt idx="5">
                  <c:v>Brasil</c:v>
                </c:pt>
              </c:strCache>
            </c:strRef>
          </c:cat>
          <c:val>
            <c:numRef>
              <c:f>'Publicações país aplicação'!$B$2:$B$7</c:f>
              <c:numCache>
                <c:formatCode>General</c:formatCode>
                <c:ptCount val="6"/>
                <c:pt idx="0">
                  <c:v>2</c:v>
                </c:pt>
                <c:pt idx="1">
                  <c:v>1</c:v>
                </c:pt>
                <c:pt idx="2">
                  <c:v>2</c:v>
                </c:pt>
                <c:pt idx="3">
                  <c:v>2</c:v>
                </c:pt>
                <c:pt idx="4">
                  <c:v>4</c:v>
                </c:pt>
                <c:pt idx="5">
                  <c:v>12</c:v>
                </c:pt>
              </c:numCache>
            </c:numRef>
          </c:val>
          <c:extLst>
            <c:ext xmlns:c16="http://schemas.microsoft.com/office/drawing/2014/chart" uri="{C3380CC4-5D6E-409C-BE32-E72D297353CC}">
              <c16:uniqueId val="{00000000-2F09-438B-9E41-C6839C2566A6}"/>
            </c:ext>
          </c:extLst>
        </c:ser>
        <c:dLbls>
          <c:showLegendKey val="0"/>
          <c:showVal val="0"/>
          <c:showCatName val="0"/>
          <c:showSerName val="0"/>
          <c:showPercent val="0"/>
          <c:showBubbleSize val="0"/>
        </c:dLbls>
        <c:gapWidth val="70"/>
        <c:axId val="1906001567"/>
        <c:axId val="1906003967"/>
      </c:barChart>
      <c:catAx>
        <c:axId val="1906001567"/>
        <c:scaling>
          <c:orientation val="minMax"/>
        </c:scaling>
        <c:delete val="0"/>
        <c:axPos val="l"/>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t-BR"/>
          </a:p>
        </c:txPr>
        <c:crossAx val="1906003967"/>
        <c:crosses val="autoZero"/>
        <c:auto val="1"/>
        <c:lblAlgn val="ctr"/>
        <c:lblOffset val="100"/>
        <c:noMultiLvlLbl val="0"/>
      </c:catAx>
      <c:valAx>
        <c:axId val="1906003967"/>
        <c:scaling>
          <c:orientation val="minMax"/>
          <c:max val="1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t-BR"/>
          </a:p>
        </c:txPr>
        <c:crossAx val="19060015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2">
          <a:lumMod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tx1"/>
            </a:solidFill>
            <a:ln>
              <a:noFill/>
            </a:ln>
            <a:effectLst/>
          </c:spPr>
          <c:invertIfNegative val="0"/>
          <c:cat>
            <c:strRef>
              <c:f>'Publicações Autor'!$E$2:$E$14</c:f>
              <c:strCache>
                <c:ptCount val="13"/>
                <c:pt idx="0">
                  <c:v>34 demais autores (Países diversos)</c:v>
                </c:pt>
                <c:pt idx="1">
                  <c:v>Wang, Y. (China)</c:v>
                </c:pt>
                <c:pt idx="2">
                  <c:v>Montagna, J.M. (Argentina)</c:v>
                </c:pt>
                <c:pt idx="3">
                  <c:v>Marins, F.A.S. (Brasil)</c:v>
                </c:pt>
                <c:pt idx="4">
                  <c:v>Li, X. (China)</c:v>
                </c:pt>
                <c:pt idx="5">
                  <c:v>da Silva, A.F. (Brasil)</c:v>
                </c:pt>
                <c:pt idx="6">
                  <c:v>Corsano, G. (Argentina)</c:v>
                </c:pt>
                <c:pt idx="7">
                  <c:v>Aliano Filho, A. (Brasil)</c:v>
                </c:pt>
                <c:pt idx="8">
                  <c:v> Lu, S. (China)</c:v>
                </c:pt>
                <c:pt idx="9">
                  <c:v> Li, Z. (China)</c:v>
                </c:pt>
                <c:pt idx="10">
                  <c:v>de Ávila Ribeiro Junqueira, R. (Brasil)</c:v>
                </c:pt>
                <c:pt idx="11">
                  <c:v>de Paiva, R.P.O. (Brasil)</c:v>
                </c:pt>
                <c:pt idx="12">
                  <c:v> Morabito, R. (Brasil)</c:v>
                </c:pt>
              </c:strCache>
            </c:strRef>
          </c:cat>
          <c:val>
            <c:numRef>
              <c:f>'Publicações Autor'!$F$2:$F$14</c:f>
              <c:numCache>
                <c:formatCode>General</c:formatCode>
                <c:ptCount val="13"/>
                <c:pt idx="0">
                  <c:v>1</c:v>
                </c:pt>
                <c:pt idx="1">
                  <c:v>2</c:v>
                </c:pt>
                <c:pt idx="2">
                  <c:v>2</c:v>
                </c:pt>
                <c:pt idx="3">
                  <c:v>2</c:v>
                </c:pt>
                <c:pt idx="4">
                  <c:v>2</c:v>
                </c:pt>
                <c:pt idx="5">
                  <c:v>2</c:v>
                </c:pt>
                <c:pt idx="6">
                  <c:v>2</c:v>
                </c:pt>
                <c:pt idx="7">
                  <c:v>2</c:v>
                </c:pt>
                <c:pt idx="8">
                  <c:v>2</c:v>
                </c:pt>
                <c:pt idx="9">
                  <c:v>2</c:v>
                </c:pt>
                <c:pt idx="10">
                  <c:v>3</c:v>
                </c:pt>
                <c:pt idx="11">
                  <c:v>5</c:v>
                </c:pt>
                <c:pt idx="12">
                  <c:v>8</c:v>
                </c:pt>
              </c:numCache>
            </c:numRef>
          </c:val>
          <c:extLst>
            <c:ext xmlns:c16="http://schemas.microsoft.com/office/drawing/2014/chart" uri="{C3380CC4-5D6E-409C-BE32-E72D297353CC}">
              <c16:uniqueId val="{00000000-8CB9-41C3-8811-501857054C86}"/>
            </c:ext>
          </c:extLst>
        </c:ser>
        <c:dLbls>
          <c:showLegendKey val="0"/>
          <c:showVal val="0"/>
          <c:showCatName val="0"/>
          <c:showSerName val="0"/>
          <c:showPercent val="0"/>
          <c:showBubbleSize val="0"/>
        </c:dLbls>
        <c:gapWidth val="70"/>
        <c:axId val="1906001567"/>
        <c:axId val="1906003967"/>
      </c:barChart>
      <c:catAx>
        <c:axId val="1906001567"/>
        <c:scaling>
          <c:orientation val="minMax"/>
        </c:scaling>
        <c:delete val="0"/>
        <c:axPos val="l"/>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t-BR"/>
          </a:p>
        </c:txPr>
        <c:crossAx val="1906003967"/>
        <c:crosses val="autoZero"/>
        <c:auto val="1"/>
        <c:lblAlgn val="ctr"/>
        <c:lblOffset val="100"/>
        <c:noMultiLvlLbl val="0"/>
      </c:catAx>
      <c:valAx>
        <c:axId val="1906003967"/>
        <c:scaling>
          <c:orientation val="minMax"/>
          <c:max val="8"/>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pt-BR"/>
          </a:p>
        </c:txPr>
        <c:crossAx val="1906001567"/>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2">
          <a:lumMod val="7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342900</xdr:colOff>
      <xdr:row>0</xdr:row>
      <xdr:rowOff>142875</xdr:rowOff>
    </xdr:from>
    <xdr:to>
      <xdr:col>11</xdr:col>
      <xdr:colOff>323850</xdr:colOff>
      <xdr:row>9</xdr:row>
      <xdr:rowOff>161925</xdr:rowOff>
    </xdr:to>
    <xdr:graphicFrame macro="">
      <xdr:nvGraphicFramePr>
        <xdr:cNvPr id="3" name="Gráfico 2">
          <a:extLst>
            <a:ext uri="{FF2B5EF4-FFF2-40B4-BE49-F238E27FC236}">
              <a16:creationId xmlns:a16="http://schemas.microsoft.com/office/drawing/2014/main" id="{44DD373F-DC13-9B6E-9067-AD1B27A7B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140494</xdr:colOff>
      <xdr:row>0</xdr:row>
      <xdr:rowOff>95250</xdr:rowOff>
    </xdr:from>
    <xdr:to>
      <xdr:col>3</xdr:col>
      <xdr:colOff>5161444</xdr:colOff>
      <xdr:row>14</xdr:row>
      <xdr:rowOff>164306</xdr:rowOff>
    </xdr:to>
    <xdr:graphicFrame macro="">
      <xdr:nvGraphicFramePr>
        <xdr:cNvPr id="3" name="Gráfico 2">
          <a:extLst>
            <a:ext uri="{FF2B5EF4-FFF2-40B4-BE49-F238E27FC236}">
              <a16:creationId xmlns:a16="http://schemas.microsoft.com/office/drawing/2014/main" id="{A3BC48EA-7466-4F74-9C55-EE447BEC4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352425</xdr:colOff>
      <xdr:row>0</xdr:row>
      <xdr:rowOff>104775</xdr:rowOff>
    </xdr:from>
    <xdr:to>
      <xdr:col>10</xdr:col>
      <xdr:colOff>515625</xdr:colOff>
      <xdr:row>11</xdr:row>
      <xdr:rowOff>169275</xdr:rowOff>
    </xdr:to>
    <xdr:graphicFrame macro="">
      <xdr:nvGraphicFramePr>
        <xdr:cNvPr id="4" name="Gráfico 3">
          <a:extLst>
            <a:ext uri="{FF2B5EF4-FFF2-40B4-BE49-F238E27FC236}">
              <a16:creationId xmlns:a16="http://schemas.microsoft.com/office/drawing/2014/main" id="{64496ECF-BBF9-49B6-9424-6F9DC4C13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258536</xdr:colOff>
      <xdr:row>0</xdr:row>
      <xdr:rowOff>235404</xdr:rowOff>
    </xdr:from>
    <xdr:to>
      <xdr:col>14</xdr:col>
      <xdr:colOff>404047</xdr:colOff>
      <xdr:row>14</xdr:row>
      <xdr:rowOff>44904</xdr:rowOff>
    </xdr:to>
    <xdr:graphicFrame macro="">
      <xdr:nvGraphicFramePr>
        <xdr:cNvPr id="2" name="Gráfico 1">
          <a:extLst>
            <a:ext uri="{FF2B5EF4-FFF2-40B4-BE49-F238E27FC236}">
              <a16:creationId xmlns:a16="http://schemas.microsoft.com/office/drawing/2014/main" id="{8F9138A3-94CE-4275-96BF-F7C6FB9BF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5676.645688194447" createdVersion="8" refreshedVersion="8" minRefreshableVersion="3" recordCount="40" xr:uid="{200C9D46-EF1E-4CB7-BC94-03DE5B907931}">
  <cacheSource type="worksheet">
    <worksheetSource ref="D1:S1048576" sheet="Base Artigos"/>
  </cacheSource>
  <cacheFields count="9">
    <cacheField name="Authors" numFmtId="0">
      <sharedItems containsBlank="1" containsMixedTypes="1" containsNumber="1" containsInteger="1" minValue="0" maxValue="0"/>
    </cacheField>
    <cacheField name="Title" numFmtId="0">
      <sharedItems containsBlank="1" count="40" longText="1">
        <s v="2nd IEOM European International Conference on Industrial Engineering and Operations Management, IEOM 2018"/>
        <s v="Optimal design of sustainable cellulosic biofuel supply chains: Multiobjective optimization coupled with life cycle assessment and input-output analysis"/>
        <s v="Stochastic production planning for a biofuel supply chain under demand and price uncertainties"/>
        <s v="Preliminary design for simultaneous saccharification and fermentation stages for ethanol production from sugar cane bagasse"/>
        <s v="An optimization model for the aggregate production planning of a Brazilian sugar and ethanol milling company"/>
        <s v="A Fuzzy Goal Programming model for solving aggregate production-planning problems under uncertainty: A case study in a Brazilian sugar mill"/>
        <s v="Production planning using fuzzy meta-goal programming model"/>
        <s v="Model-based decision support tools at Jugos S.A. concentrated fruit juice plant"/>
        <s v="Modeling and solving a sugarcane harvest front scheduling problem"/>
        <s v="Multi-choice mixed integer goal programming optimization for real problems in a sugar and ethanol milling company"/>
        <s v="Multi-source capacitated lot-sizing for economically viable and clean biofuel production"/>
        <s v="Designing a hub location model in a bagasse-based bioethanol supply chain network in Iran (case study: Iran sugar industry)"/>
        <s v="Evaluation of biofuel production integrated with existing CHP plants and the impacts on production planning of the system – A case study"/>
        <s v="Optimization approaches for sugarcane harvest front programming and scheduling"/>
        <s v="An optimization model for the aggregate production planning in alcohol and sugar mills; [Um modelo de otimização para o planejamento agregado da produção em usinas de açúcar e álcool]"/>
        <s v="Integrated planning for planting and harvesting sugarcane and energy-cane for the production of sucrose and energy"/>
        <s v="A bi-objective mathematical model for integrated planning of sugarcane harvesting and transport operations"/>
        <s v="A branch-and-price approach for a biomass feedstock logistics supply chain design problem"/>
        <s v="Modeling and optimization of bioethanol production planning under hybrid uncertainty: A heuristic multi-stage stochastic programming approach"/>
        <s v="Optimization of biodiesel production using multi-objective genetic algorithm"/>
        <s v="Alcohol production process modelling based on indicators using transactional software, industrial automation and manufacturing execution systems-MES"/>
        <s v="Integrated decision making for the optimal bioethanol supply chain"/>
        <s v="Hybrid simulation framework for the production management of an ethanol biorefinery"/>
        <s v="Stochastic robust optimization model applied to the aggregate production planning in mill cooperative socities in the sugar-energy sector; [Programação estocástica robusta aplicada ao planejamento agregado de safra em usinas cooperadas do setor sucroenergético]"/>
        <s v="Multiperiod design and planning of multiproduct batch plants with mixed-product campaigns"/>
        <s v="A hierarchical supply chain model for the sugar–alcohol energy sector with robust optimization analysis"/>
        <s v="Optimization of the hierarchical production planning of a cooperative society of sugarcane milling companies; [Otimização do planejamento hierárquico da produção em usinas cooperadas do setor sucroenergético]"/>
        <s v="Multi-objective optimization of the first and second-generation ethanol supply chain in Brazil using the water-energy-food-land nexus approach"/>
        <s v="Programming and scheduling sugarcane harvesting fronts: Model and solution methods for large-scale problems"/>
        <s v="Hierarchical production planning for sugarcane milling companies: Robust optimization model; [Planejamento hierárquico da produção em usinas de açúcar e álcool: Modelagem de otimização robusta]"/>
        <s v="Make-to-order production planning with seasonal supply in canned pineapple industry"/>
        <s v="Carbon-efficient production scheduling of a bioethanol plant considering diversified feedstock pelletization density: A case study"/>
        <s v="Vapour pressure of butanol as a component of gasoline; [Prężność par butanolu jako komponentu benzyn silnikowych]"/>
        <s v="Solving aggregate production planning problem with uncertainty using fuzzy goal programming"/>
        <s v="Pareto analysis of product quality failures and cost effects in bottling machines-a lean thinking solution for alcohol industry"/>
        <s v="An integrated framework for enterprise management - A synergistic approach towards sustainable biorefineries"/>
        <s v="A two-stage stochastic programming model for districting and transportation lot-size of sugarcane"/>
        <s v="Optimization of Harvesting Priority of Sugarcane Farms by the Generalized Assignment Problem"/>
        <s v="Stochastic analysis of crude oil procurement and processing under uncertain demand for bunker fuel oil"/>
        <m/>
      </sharedItems>
    </cacheField>
    <cacheField name="Título" numFmtId="0">
      <sharedItems containsBlank="1"/>
    </cacheField>
    <cacheField name="Classificação" numFmtId="0">
      <sharedItems containsBlank="1" count="5">
        <s v="C"/>
        <s v="A"/>
        <s v="B *C"/>
        <s v="D"/>
        <m/>
      </sharedItems>
    </cacheField>
    <cacheField name="País Aplicação" numFmtId="0">
      <sharedItems containsBlank="1"/>
    </cacheField>
    <cacheField name="País 1º Autor" numFmtId="0">
      <sharedItems containsBlank="1"/>
    </cacheField>
    <cacheField name="Observação" numFmtId="0">
      <sharedItems containsBlank="1" longText="1"/>
    </cacheField>
    <cacheField name="Year" numFmtId="0">
      <sharedItems containsString="0" containsBlank="1" containsNumber="1" containsInteger="1" minValue="2006" maxValue="2024" count="19">
        <n v="2018"/>
        <n v="2012"/>
        <n v="2013"/>
        <n v="2017"/>
        <n v="2009"/>
        <n v="2014"/>
        <n v="2015"/>
        <n v="2020"/>
        <n v="2019"/>
        <n v="2007"/>
        <n v="2021"/>
        <n v="2022"/>
        <n v="2016"/>
        <n v="2011"/>
        <n v="2023"/>
        <n v="2024"/>
        <n v="2010"/>
        <n v="2006"/>
        <m/>
      </sharedItems>
    </cacheField>
    <cacheField name="Cited by" numFmtId="0">
      <sharedItems containsString="0" containsBlank="1" containsNumber="1" containsInteger="1" minValue="0" maxValue="60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ne" refreshedDate="45991.610665972221" createdVersion="8" refreshedVersion="8" minRefreshableVersion="3" recordCount="68" xr:uid="{D4E94F15-A4E9-48E5-9FBF-B9CEDEDDBBF2}">
  <cacheSource type="worksheet">
    <worksheetSource ref="A17:C85" sheet="Publicações país pesquisadores"/>
  </cacheSource>
  <cacheFields count="3">
    <cacheField name="Tipo" numFmtId="0">
      <sharedItems/>
    </cacheField>
    <cacheField name="Autor" numFmtId="0">
      <sharedItems count="46">
        <s v="Aliano Filho, Angelo"/>
        <s v="Melo, Teresa"/>
        <s v="Pato, Margarida Vaz"/>
        <s v="Aguayo, Maichel M."/>
        <s v="Sarin, Subhash C."/>
        <s v="Cundiff, John S."/>
        <s v="da Silva, Aneirson Francisco"/>
        <s v="Marins, Fernando Augusto Silva"/>
        <s v="de Paiva, Rafael Piatti Oiticica"/>
        <s v="Rocco, Cleber D."/>
        <s v="Morabito, Reinaldo"/>
        <s v="Li, Xinchao"/>
        <s v="Jin, Xin"/>
        <s v="Lu, Shan"/>
        <s v="Li, Zhe"/>
        <s v="Wang, Yue"/>
        <s v="Cao, Jiangtao"/>
        <s v="Montevechi, José Arnaldo Barra"/>
        <s v="Al Mohamed, Alaa Alden"/>
        <s v="Al Mohamed, Sobhi"/>
        <s v="Ahmad, Marwa"/>
        <s v="Awudu, Iddrisu"/>
        <s v="Zhang, Jun"/>
        <s v="de Ávila Ribeiro Junqueira, Rogério"/>
        <s v="Hafezi, Negar"/>
        <s v="Sheikhdavoodi, Mohammad Javad"/>
        <s v="Bahrami, Houshang"/>
        <s v="Alavi, Seyed Enayatallah"/>
        <s v="Corsano, Gabriela"/>
        <s v="Aguirre, Pío A."/>
        <s v="Montagna, Jorge M."/>
        <s v="You, Fengqi"/>
        <s v="Tao, Ling"/>
        <s v="Graziano, Diane J."/>
        <s v="Snyder, Seth W."/>
        <s v="Kantas, Alperen Burak"/>
        <s v="Cobuloglu, Halil I."/>
        <s v="Büyüktahtakn, I. Esra"/>
        <s v="Zhu, Li"/>
        <s v="Poltroniere, Sônia Cristina"/>
        <s v="Caversan, Amanda Suellen"/>
        <s v="Balbo, Antonio Roberto"/>
        <s v="Florentino, Helenice de Oliveira"/>
        <s v="Fumero, Yanina"/>
        <s v="Saadati, Mahdi"/>
        <s v="Hosseininezhad, Seyed Javad"/>
      </sharedItems>
    </cacheField>
    <cacheField name="País" numFmtId="0">
      <sharedItems count="10">
        <s v="Brasil"/>
        <s v="Alemanha"/>
        <s v="Portugal"/>
        <s v="Chile"/>
        <s v="Estados Unidos"/>
        <s v="China"/>
        <s v="Síria"/>
        <s v="Jordânia"/>
        <s v="Irã"/>
        <s v="Argenti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0"/>
    <x v="0"/>
    <s v="2ª Conferência Internacional Europeia IEOM sobre Engenharia Industrial e Gestão de Operações, IEOM 2018"/>
    <x v="0"/>
    <m/>
    <m/>
    <m/>
    <x v="0"/>
    <n v="0"/>
  </r>
  <r>
    <s v="You F.; Tao L.; Graziano D.J.; Snyder S.W."/>
    <x v="1"/>
    <s v="Projeto ideal de cadeias de fornecimento de biocombustíveis celulósicos sustentáveis: otimização multiobjetivo aliada à avaliação do ciclo de vida e análise de entrada-saída"/>
    <x v="1"/>
    <s v="Estados Unidos"/>
    <s v="Estados Unidos"/>
    <s v="O modelo prevê simultaneamente o design ideal da rede, localização da instalação, seleção de tecnologia, investimento de capital, planejamento da produção , controle de estoque e decisões de gerenciamento de logística"/>
    <x v="1"/>
    <n v="602"/>
  </r>
  <r>
    <s v="Awudu I.; Zhang J."/>
    <x v="2"/>
    <s v="Planejamento estocástico da produção para uma cadeia de fornecimento de biocombustíveis sob incertezas de demanda e preço"/>
    <x v="1"/>
    <s v="Estados Unidos"/>
    <s v="Estados Unidos"/>
    <s v="É proposto um modelo de planejamento de produção estocástico para uma cadeia de suprimentos de biocombustíveis, que consiste em fornecedores de biomassa, usinas de refino de biocombustíveis e centros de distribuição._x000a_O modelo do algoritmo proposto é aplicado em uma cadeia de suprimentos de uma usina de etanol da Dakota do Norte."/>
    <x v="2"/>
    <n v="122"/>
  </r>
  <r>
    <s v="Albernas-Carvajal Y.; Corsano G.; González Cortés M.; González Suárez E."/>
    <x v="3"/>
    <s v="Projeto preliminar para etapas simultâneas de sacarificação e fermentação para produção de etanol a partir do bagaço de cana-de-açúcar"/>
    <x v="2"/>
    <m/>
    <m/>
    <s v="*Etanol de segunda geração a partir do bagaço._x000a_*Justifica a pesquisa com análise econômica, payback 2,5 anos_x000a_* O problema consiste em determinar o número de lotes de bagaço hidrolisado, Nb, seu tamanho, B, e o projeto ótimo para os estágios envolvidos (número de unidades duplicadas por estágio, Mj, e seu tamanho, Vj), a fim de atingir a produção necessária Q no horizonte de tempo H a um custo mínimo._x000a__x000a__x000a_ O uso de biomassa lignocelulósica como matéria-prima precisa de um estágio de pré-tratamento para quebrar o complexo lignocelulósico em lignina, celulose e hemiceluloses, então o estágio de hidrólise converte a celulose em glicose fermentável e, finalmente, para aumentar o rendimento de glicose, o processo simultâneo de sacarificação e fermentação (SSF) é realizado. Neste trabalho, um projeto preliminar para esses estágios é proposto. _x000a_Um modelo de programação linear inteira mista é formulado para obter o número ótimo de unidades paralelas em cada estágio e seus tamanhos (configuração e capacidade da planta). O planejamento da produção ao longo do horizonte de tempo de um ano é determinado, dado pelo número de lotes a serem processados ​​e seu tamanho. "/>
    <x v="3"/>
    <n v="7"/>
  </r>
  <r>
    <s v="de Paiva R.P.O.; Morabito R."/>
    <x v="4"/>
    <s v="Um modelo de otimização para o planejamento agregado da produção de uma empresa brasileira de usinagem de açúcar e etanol"/>
    <x v="1"/>
    <s v="Brasil"/>
    <s v="Brasil"/>
    <s v="Apresenta um modelo de otimização para dar suporte a decisões no planejamento agregado da produção de empresas de moagem de açúcar e etanol "/>
    <x v="4"/>
    <n v="51"/>
  </r>
  <r>
    <s v="da Silva A.F.; Marins F.A.S."/>
    <x v="5"/>
    <s v="Um modelo de programação de metas fuzzy para resolver problemas de planejamento de produção agregada sob incerteza: um estudo de caso em uma usina de açúcar brasileira."/>
    <x v="1"/>
    <s v="Brasil"/>
    <s v="Brasil"/>
    <s v="Propõe um modelo de Programação de Metas Fuzzy (FGP) para um problema real de planejamento de produção agregada"/>
    <x v="5"/>
    <n v="50"/>
  </r>
  <r>
    <s v="Bhargava A.K.; Singh S.R.; Bansal D."/>
    <x v="6"/>
    <s v="Planejamento de produção usando modelo de programação de meta-objetivos fuzzy"/>
    <x v="2"/>
    <m/>
    <m/>
    <s v="*Trata de um modelo conceitual, não aplicado especificamente para um setor._x000a_*Para ilustrar o funcionamento da abordagem da Programação Meta-Objetivos Fuzzy, vamos considerar o seguinte conjunto de objetivos e restrições para um problema de planejamento de produção, onde as variáveis x1 e x2 representam o número de unidades dos produtos A e B fabricadas_x000a__x000a_problema hipotético de planejamento de produção utilizando o otimizador LINDO 11.0, três tipos de meta-objetivos são considerados, os quais são assumidos como tendo limites fuzzy para manipular o grau de realização dos objetivos priorizados._x000a_O tomador de decisão recebe flexibilidade por meio de meta-objetivos para expressar suas preferências. O problema de planejamento de produção resolvido usando o modelo proposto mostra que o tomador de decisão pode saber estabelecer valores-alvo não apenas para objetivos, mas também para funções de realização relevantes que são assumidas como fuzzy por natureza_x000a_Essa abordagem pode ser aplicada a problemas mais realistas sobre ser mais flexível do que o GP usual, a saber, indústrias têxteis, de carvão, de açúcar , etc."/>
    <x v="6"/>
    <n v="3"/>
  </r>
  <r>
    <s v="Blanco A.M.; Susana Moreno M.; Taraborelli C.; D'Angelo F.; Iturmendi F.; Alberto Bandoni J."/>
    <x v="7"/>
    <s v="Ferramentas de suporte à decisão baseadas em modelos na fábrica de sucos concentrados de frutas da Jugos SA"/>
    <x v="0"/>
    <m/>
    <m/>
    <s v="auxiliar nas operações de uma grande planta de suco concentrado de maçã e pêra. O objetivo da ferramenta é gerar cronogramas detalhados de lotes de suco clarificado a serem produzidos nas semanas seguintes, considerando previsões de frutas recebidas, compromissos comerciais e restrições de infraestrutura."/>
    <x v="7"/>
    <n v="0"/>
  </r>
  <r>
    <s v="de Ávila Ribeiro Junqueira R.; Morabito R."/>
    <x v="8"/>
    <s v="Modelagem e resolução de um problema de programação de frente de colheita de cana-de-açúcar"/>
    <x v="1"/>
    <s v="Brasil"/>
    <s v="Brasil"/>
    <s v="Trata do agendamento da frente de colheita, do sistema logístico e de planejamento de colheita, considerando as capacidades de colheita e transporte."/>
    <x v="8"/>
    <n v="40"/>
  </r>
  <r>
    <s v="da Silva A.F.; Marins F.A.S.; Barra Montevechi J.A."/>
    <x v="9"/>
    <s v="Otimização de programação de metas inteiras mistas de múltipla escolha para problemas reais em uma empresa de moagem de açúcar e etanol"/>
    <x v="1"/>
    <s v="Brasil"/>
    <s v="Brasil"/>
    <s v="Propõe um modelo de Programação de Metas Inteiras Múltiplas Escolhas (MCMI-GP) para o planejamento agregado da produção de uma empresa brasileira de moagem de açúcar e etanol"/>
    <x v="2"/>
    <n v="40"/>
  </r>
  <r>
    <s v="Kantas A.B.; Cobuloglu H.I.; Büyüktahtakn I.E."/>
    <x v="10"/>
    <s v="Dimensionamento de lotes capacitados de múltiplas fontes para produção de biocombustíveis economicamente viáveis e limpos."/>
    <x v="1"/>
    <s v="Estados Unidos"/>
    <s v="Estados Unidos"/>
    <s v="Proposta de um modelo de dimensionamento de lote capacitado por programação linear inteira mista (MILP) para analisar a viabilidade econômica e ambiental da produção de etanol usando múltiplas fontes de biomassa. _x000a__x000a_Os resultados mostram que o capim-rabo-de-raposa é o tipo de biomassa mais lucrativo e preferido quando há um suprimento ilimitado de todas as fontes de biomassa, enquanto o trigo e o milho se tornam mais preferíveis no caso de um suprimento limitado de biomassa."/>
    <x v="6"/>
    <n v="26"/>
  </r>
  <r>
    <s v="Saadati M.; Hosseininezhad S.J."/>
    <x v="11"/>
    <s v="Projetando um modelo de localização de hub em uma rede de cadeia de suprimentos de bioetanol à base de bagaço no Irã (estudo de caso: indústria de açúcar do Irã)"/>
    <x v="1"/>
    <s v="Irã"/>
    <s v="Irã"/>
    <s v="Propõe um modelo de programação linear inteira mista multiobjetivo para localizar instalações de hub na rede da cadeia de suprimentos de bioetanol. _x000a__x000a_A metodologia proposta é capaz de determinar o número ideal de locais, capacidade das instalações, modo de transporte apropriado, fluxo de material entre cada par de nós e planejamento da produção em diferentes períodos"/>
    <x v="8"/>
    <n v="20"/>
  </r>
  <r>
    <s v="Daraei M.; Avelin A.; Dotzauer E.; Thorin E."/>
    <x v="12"/>
    <s v="Avaliação da produção de biocombustíveis integrada com usinas de cogeração existentes e os impactos no planejamento da produção do sistema – Um estudo de caso"/>
    <x v="2"/>
    <m/>
    <m/>
    <s v="*Modelagem para minimizar o custo de produção de combustíveis, com foco na mudança do consumo dos veículos rodoviários para biocombustíveis. Inclui geração de energia solar e produção de etanol à base de palha._x000a__x000a_*Este artigo considera a produção de bioetanol à base de palha. As palhas de cereais consideradas são trigo, aveia e cevada, pois são os tipos mais comuns de cereais cultivados na região._x000a_*Para estimar o potencial de produção de palha na região, utiliza-se a área total de colheita (A), a produtividade anual da colheita de cereais (Y) e a relação entre cultura e resíduo (R) na Equação (1), que também considera a disponibilidade da palha para uso energético (C). O parâmetro de disponibilidade permite o retorno de uma parcela da palha produzida para a terra para evitar erosão e manter a fertilidade do solo ._x000a_*Devido à falta de dados sobre o uso de combustível a nível regional, a Equação (2) é usado para estimar a demanda de bioetanol puro no sistema de transporte local,_x000a_*Um modelo de otimização é desenvolvido para o sistema de energia estudado no General Algebraic Modeling System (GAMS) usando o método Mixed Integer Linear Programming (MILP). O modelo inclui a produção de eletricidade a partir de usinas hidrelétricas disponíveis e energia solar regional, energia, calor e combustível para transporte de CHP integrados com produção de etanol à base de palha , bem como produção de calor de usinas de aquecimento _x000a_*O modelo de otimização visa minimizar o custo do sistema, incluindo o custo de produção e importação de combustível, processos de conversão em plantas, importação de produtos e redução de custos devido à exportação de produtos energéticos excedentes._x000a__x000a_O modelo é usado ainda para investigar a influência de três cenários diferentes no planejamento da produção de usinas regionais de calor e energia combinados (CHP): (1) produção de biocombustível à base de palha integrada com usinas de CHP existentes para abastecer veículos com motor de combustão, (2) uso de veículos elétricos e (3) uso de veículos híbridos abastecidos por eletricidade e bioetanol. A geração potencial de energia solar a partir de células solares de telhado também está incluída no modelo."/>
    <x v="8"/>
    <n v="8"/>
  </r>
  <r>
    <s v="de Ávila Ribeiro Junqueira R.; Morabito R."/>
    <x v="13"/>
    <s v="Abordagens de otimização para programação e escalonamento da frente de colheita da cana-de-açúcar"/>
    <x v="1"/>
    <s v="Brasil"/>
    <s v="Brasil"/>
    <s v="Propõe otimização para programação e sequenciamento das frentes de colheita por meio de um modelo de dimensionamento e sequenciamento de lotes da produção em máquinas paralelas, com custos e tempos de setup dependentes da sequência"/>
    <x v="3"/>
    <n v="16"/>
  </r>
  <r>
    <s v="de Paiva R.P.O.; Morabito R."/>
    <x v="14"/>
    <s v="Um modelo de otimização para o planejamento agregado da produção em usinas de açúcar e álcool"/>
    <x v="3"/>
    <s v="Brasil"/>
    <s v="Brasil"/>
    <s v="Apresenta um modelo de planejamento agregado da produção de uma empresa de moagem de açúcar e álcool"/>
    <x v="9"/>
    <n v="14"/>
  </r>
  <r>
    <s v="Poltroniere S.C.; Aliano Filho A.; Caversan A.S.; Balbo A.R.; Florentino H.D.O."/>
    <x v="15"/>
    <s v="Planejamento integrado para plantio e colheita de cana-de-açúcar e cana-energia para produção de sacarose e energia"/>
    <x v="1"/>
    <s v="Brasil"/>
    <s v="Brasil"/>
    <s v="Propõe um modelo de otimização linear inteira mista para o planejamento integrado do plantio e colheita de cana-de-açúcar e cana-energia para uma usina sucroenergética, é proposto um cronograma otimizado de plantio e colheita, que visa maximizar a produção de sacarose e fibra nos canaviais."/>
    <x v="10"/>
    <n v="14"/>
  </r>
  <r>
    <s v="Aliano Filho A.; Melo T.; Pato M.V."/>
    <x v="16"/>
    <s v="Um modelo matemático bi-objetivo para planejamento integrado das operações de colheita e transporte de cana-de-açúcar"/>
    <x v="1"/>
    <s v="Brasil"/>
    <s v="Brasil"/>
    <s v="Planejamento integrado das operações de colheita e transporte com o objetivo de desenvolver um plano tático para a implantação de equipamentos de colheita e transporte que defina os períodos para a execução das operações de colheita e o tipo de máquinas e veículos de transporte rodoviário a serem operados."/>
    <x v="10"/>
    <n v="13"/>
  </r>
  <r>
    <s v="Aguayo M.M.; Sarin S.C.; Cundiff J.S."/>
    <x v="17"/>
    <s v="Uma abordagem de ramificação e preço para um problema de projeto de cadeia de suprimentos de logística de matéria-prima de biomassa"/>
    <x v="1"/>
    <s v="Estados Unidos"/>
    <s v="Chile"/>
    <s v="projeto de cadeia de suprimentos de logística de matéria-prima de biomassa, que compreende um problema de localização de instalações multiperíodo, um caso especial de um problema de dimensionamento de lote capacitado de instalações paralelas de item único e um problema de fluxo de rede."/>
    <x v="8"/>
    <n v="12"/>
  </r>
  <r>
    <s v="Li X.; Lu S.; Li Z.; Wang Y.; Zhu L."/>
    <x v="18"/>
    <s v="Modelagem e otimização do planejamento da produção de bioetanol sob incerteza híbrida: uma abordagem heurística de programação estocástica multiestágio"/>
    <x v="1"/>
    <s v="China"/>
    <s v="China"/>
    <s v="modelo de otimização estocástica multiestágio misto é proposto para resolver o problema de planejamento de produção de uma planta de bioetanol com múltiplas matérias-primas simultaneamente considerando demanda e rendimento incertos"/>
    <x v="11"/>
    <n v="12"/>
  </r>
  <r>
    <s v="Goharimanesh M.; Lashkaripour A.; Akbari A.A."/>
    <x v="19"/>
    <s v="Otimização da produção de biodiesel usando algoritmo genético multiobjetivo"/>
    <x v="0"/>
    <m/>
    <m/>
    <s v="o algoritmo genético, aplicado à produção de biodiesel para obter os melhores parâmetros de reação._x000a_O ponto de temperatura alcançado para maximizar a produção de biodiesel foi uma ampla faixa de temperatura que pode ser ilustrada como frente de Pareto para ajudar a tomar a decisão final. "/>
    <x v="12"/>
    <n v="4"/>
  </r>
  <r>
    <s v="Gonçalves L.A.; Filho R.M."/>
    <x v="20"/>
    <s v="Modelagem do processo de produção de álcool com base em indicadores utilizando software transacional, automação industrial e sistemas de execução de manufatura-MÊS"/>
    <x v="0"/>
    <m/>
    <m/>
    <s v="O objetivo principal é atingir a otimização do processo . Os principais resultados obtidos pelo modelo são: automação dos processos de produção, confiabilidade e eficiência na troca de informações, melhoria da comunicação entre as áreas de produção e as demais áreas de gestão, uso adequado de tecnologias de ponta, acesso em tempo real às informações em qualquer lugar (web) para possibilitar a tomada de decisões com segurança."/>
    <x v="2"/>
    <n v="2"/>
  </r>
  <r>
    <s v="Corsano G.; Fumero Y.; Montagna J.M."/>
    <x v="21"/>
    <s v="Tomada de decisão integrada para a cadeia de fornecimento ideal de bioetanol"/>
    <x v="1"/>
    <m/>
    <s v="Argentina"/>
    <s v="Modelo de Programação Linear Inteira Mista (MILP) para a alocação, projeto e planejamento de produção ideais de plantas integradas de etanol /levedura_x000a_O modelo proposto determina simultaneamente a estrutura de uma cadeia de suprimentos de três escalões (locais de matéria-prima, instalações de produção e zonas de clientes)"/>
    <x v="5"/>
    <n v="10"/>
  </r>
  <r>
    <s v="Kim S.; Kim S."/>
    <x v="22"/>
    <s v="Framework de simulação híbrida para a gestão da produção de uma biorrefinaria de etanol"/>
    <x v="3"/>
    <s v="Estados Unidos"/>
    <s v="Coréia do Sul"/>
    <s v="Etanol de Milho_x000a_Estrutura de simulação híbrida em duas principais plataformas de simulação: (1) Agricultural Land Management Alternative with Numerical Assessment Criteria (ALMANAC) para estimativa de rendimento de matéria-prima e (2) otimização baseada em simulação com simulação baseada em agente (ABS) para identificar o plano de produção ideal em termos de custo operacional com base no rendimento e parâmetros relevantes fornecidos pelo ALMANAC. No ABS, oito operações principais (por exemplo, moagem, cozimento, liquefação e fermentação) de uma refinaria foram modeladas por meio do software AnyLogic® ABS para calcular com precisão os custos operacionais"/>
    <x v="11"/>
    <n v="10"/>
  </r>
  <r>
    <s v="de Paiva R.P.O.; Morabito R."/>
    <x v="23"/>
    <s v="Programação estocástica robusta aplicada ao planejamento agregado de safra em usinas cooperadas do setor sucroenergético"/>
    <x v="1"/>
    <s v="Brasil"/>
    <s v="Brasil"/>
    <s v="apresenta um modelo de otimização robusta estocástica aplicado ao planejamento agregado da produção em cooperativas de usinas do setor sucroenergético. Este modelo matemático é baseado em uma relação hierárquica entre o planejamento anual da cooperativa e o horizonte de planejamento tático das usinas de cana-de-açúcar"/>
    <x v="13"/>
    <n v="6"/>
  </r>
  <r>
    <s v="Corsano G.; Aguirre P.A.; Montagna J.M."/>
    <x v="24"/>
    <s v="Projeto e planejamento multiperíodo de plantas de lote multiprodutos com campanhas de produtos mistos"/>
    <x v="1"/>
    <m/>
    <s v="Argentina"/>
    <s v="Programa não linear inteiro misto, diferentes alternativas de campanha de produção mista são consideradas, manipuladas por meio de um novo conjunto de restrições de programação. Esta abordagem é proposta para uma rede de fermentadores com alto nível de detalhes na descrição das operações unitárias em uma planta que produz levedura e etanol"/>
    <x v="4"/>
    <n v="5"/>
  </r>
  <r>
    <s v="de Paiva R.P.O.; Rocco C.D.; Morabito R."/>
    <x v="25"/>
    <s v="Um modelo hierárquico de cadeia de suprimentos para o setor sucroalcooleiro energético com análise de otimização robusta"/>
    <x v="1"/>
    <s v="Brasil"/>
    <s v="Brasil"/>
    <s v="modelo de otimização hierárquica para o setor sucroalcooleiro energético com análise de otimização robusta _x000a_- alocação de metas de produção visando atender à demanda potencial do mercado_x000a_- gerenciar os estoques ao longo de meses no planejamento anual_x000a_- como o ritmo de moagem, a seleção do processo industrial para produzir açúcar – álcool – melaço e energia, comprando cana-de-açúcar dos fornecedores semanalmente."/>
    <x v="14"/>
    <n v="4"/>
  </r>
  <r>
    <s v="de Paiva R.P.O.; Morabito R."/>
    <x v="26"/>
    <s v="Otimização do planejamento hierárquico da produção em usinas cooperadas do setor sucroenergético"/>
    <x v="1"/>
    <s v="Brasil"/>
    <s v="Brasil"/>
    <s v="Problema de planejamento anual da cooperativa e o horizonte de planejamento tático das usinas de cana-de-açúcar_x000a_Alocação de metas de produção para cada usina e ao gerenciamento de estoque e demandas dinâmicas._x000a_Um modelo de seleção de processos para determinar quantidade de cana-de-açúcar moída; seleção de fornecedores de cana-de-açúcar ; seleção do sistema de transporte de cana-de-açúcar ; e seleção de processos industriais usados ​​na produção de açúcar , álcool , melaço e energia"/>
    <x v="2"/>
    <n v="4"/>
  </r>
  <r>
    <s v="Machado R.L.; Abreu M.R."/>
    <x v="27"/>
    <s v="Otimização multiobjetivo da cadeia de suprimentos de etanol de primeira e segunda geração no Brasil usando a abordagem do nexo água-energia-alimento-terra"/>
    <x v="2"/>
    <m/>
    <m/>
    <s v="*Não faz planejamento de produção, faz comparativo dos cenários com produção E1G e E2G, buscando otimizar os custos de produção e transporte até o centro de distribuição, são 3 usinas no estudo._x000a_*Utiliza dados de safra para input no modelo_x000a_*Verifica que o E2G demonstra um retorno maior nos créditos de carbono CBio, mas não no custo de produção._x000a__x000a_*O WEFL Nexus aborda questões de desmatamento em larga escala, uso inadequado da terra, escassez de água e energia, sugerindo o uso de biomassa residual de processos agrícolas e industriais para gerar biocombustíveis de segunda geração e aumentar a eficiência do uso da terra e da água para mitigar o conflito entre geração de energia e produção de alimentos_x000a_*A estrutura da cadeia produtiva estudada envolve as etapas de cultivo e processamento da cana-de-açúcar e armazenamento, transporte e distribuição do etanol._x000a_*Nesta pesquisa, as funções objetivo estabelecidas para o Nexus e não-NS consideram a minimização dos custos totais de produção, incluindo o cultivo da cana-de-açúcar, o processamento na usina e o armazenamento e transporte de matérias primas e produtos._x000a__x000a__x000a_O estudo desenvolveu um modelo matemático multiobjetivo para analisar a eficiência da cadeia de suprimentos, combinado com uma análise de abordagem de decisão multicritério. Os resultados indicam um ganho em eficiência e sustentabilidade com as plantas de fabricação de segunda geração"/>
    <x v="15"/>
    <n v="0"/>
  </r>
  <r>
    <s v="de Ávila Ribeiro Junqueira R.; Morabito R."/>
    <x v="28"/>
    <s v="Programação e escalonamento de frentes de colheita de cana-de-açúcar: modelos e métodos de solução para problemas de grande porte"/>
    <x v="1"/>
    <s v="Brasil"/>
    <s v="Brasil"/>
    <s v="Otimização para programação e agendamento de frentes de colheita de cana-de-açúcar_x000a_Programação Inteira Mista (MIP) de um modelo de dimensionamento e agendamento de lotes em máquinas paralelas com tempos de preparação e custos dependentes da sequência. Os métodos propostos são baseados em heurísticas MIP para resolver este modelo em uma situação real de uma temporada de colheita de uma empresa típica deste setor inspirados em heurísticas de agregação de blocos de colheita, heurísticas construtivas relax-and-fix e heurísticas de melhoria fix-and-optimize."/>
    <x v="0"/>
    <n v="4"/>
  </r>
  <r>
    <s v="de Paiva R.P.O.; Morabito R."/>
    <x v="29"/>
    <s v="Planejamento hierárquico da produção em usinas de açúcar e álcool: Modelagem de otimização robusta"/>
    <x v="1"/>
    <s v="Brasil"/>
    <s v="Brasil"/>
    <s v=" planejamento hierárquico da produção de empresas de moagem de cana-de-açúcar e propõe um modelo de otimização robusto que considera diversas incertezas nos parâmetros do problema"/>
    <x v="5"/>
    <n v="3"/>
  </r>
  <r>
    <s v="Plangsrisakul K.; Somboonwiwat T.; Khompatraporn C."/>
    <x v="30"/>
    <s v="Planejamento de produção sob encomenda com fornecimento sazonal na indústria de abacaxi em lata"/>
    <x v="0"/>
    <m/>
    <m/>
    <s v="*Não consegui fazer download_x000a_problema de planejamento de produção em uma indústria de abacaxi enlatado"/>
    <x v="10"/>
    <n v="0"/>
  </r>
  <r>
    <s v="Li X.; Jin X.; Lu S.; Li Z.; Wang Y.; Cao J."/>
    <x v="31"/>
    <s v="Programação de produção com eficiência de carbono de uma planta de bioetanol considerando densidade diversificada de peletização de matéria-prima: um estudo de caso"/>
    <x v="1"/>
    <s v="China"/>
    <s v="China"/>
    <s v="planejamento da produção e programação do transporte, armazenamento, pré-tratamento e fabricação de etanol da usina de bioetanol são totalmente considerados. _x000a_Em segundo lugar, as emissões de carbono no processo de fabricação de etanol são integradas ao modelo para formar um modelo de otimização de objetivo duplo que otimiza simultaneamente o plano de produção e as emissões de carbono."/>
    <x v="7"/>
    <n v="1"/>
  </r>
  <r>
    <s v="Rogowska D."/>
    <x v="32"/>
    <s v="Pressão de vapor do butanol como componente da gasolina"/>
    <x v="0"/>
    <m/>
    <m/>
    <s v="o número de mistura para pressão de vapor de n-butanol e i-butanol em combinação com outros componentes de oxigênio e componentes de gasolina para gasolina contendo acima de 2,7% (m/m) de oxigênio foi avaliado"/>
    <x v="7"/>
    <n v="0"/>
  </r>
  <r>
    <s v="Al Mohamed A.A.; Al Mohamed S.; Ahmad M."/>
    <x v="33"/>
    <s v="Resolução de problemas de planejamento de produção agregada com incerteza usando programação de metas fuzzy"/>
    <x v="1"/>
    <s v="Síria"/>
    <s v="Síria"/>
    <s v="*Não consegui fazer download_x000a__x000a_resolver o problema do planejamento de produção agregada para a indústria açucareira, sob o ambiente fuzzy._x000a_A programação de metas fuzzy é usada para reduzir o custo de produção e armazenamento e a mudança no nível da força de trabalho, e para ajudar a empresa a atender à necessidade do mercado para os produtos que produz."/>
    <x v="14"/>
    <n v="1"/>
  </r>
  <r>
    <s v="Salawu E.Y.; Ajayi O.O.; Inegbenebor A.; Afolalu S.A.; Samson O."/>
    <x v="34"/>
    <s v="Análise de Pareto de falhas de qualidade de produto e efeitos de custo em máquinas de engarrafamento - uma solução de pensamento enxuto para a indústria de álcool"/>
    <x v="0"/>
    <m/>
    <m/>
    <s v="*Não consegui fazer download_x000a_otimização sustentável do design do processo de produção empregando a abordagem de Pareto para identificar os desafios de qualidade da embalagem de bebidas alcoólicas"/>
    <x v="0"/>
    <n v="7"/>
  </r>
  <r>
    <s v="Sharma P.K.; Romagnoli J."/>
    <x v="35"/>
    <s v="Uma estrutura integrada para gestão empresarial - Uma abordagem sinérgica para biorrefinarias sustentáveis"/>
    <x v="0"/>
    <m/>
    <m/>
    <s v="Excluir por não ser um artigo, resumo de uma palestra, sem acesso ao documento_x000a__x000a_*Não consegui fazer download_x000a_Uma empresa de biorrefino é caracterizada como uma entidade com três camadas principais em sua hierarquia funcional, ou seja, a camada de planejamento estratégico, a camada de planejamento tático e a camada de planejamento de produção . Cada camada é modelada com um modelo de otimização . _x000a_A função objetivo usada no modelo é o valor do acionista da empresa e o horizonte de tempo de otimização é de 5 _x000a_anos com incrementos de tempo trimestrais"/>
    <x v="16"/>
    <n v="0"/>
  </r>
  <r>
    <s v="Sudtachat K."/>
    <x v="36"/>
    <s v="Um modelo de programação estocástica de dois estágios para distribuição e transporte de lotes de cana-de-açúcar"/>
    <x v="2"/>
    <m/>
    <m/>
    <s v="Não faz o planejamento completo de produção, trata períodos como parâmetro para recebimento de cana e otimiza o local a ser colhido com menor custo_x000a__x000a_*desenvolvemos o modelo matemático para resolver o problema de distribuição integrada e tamanho de lote de transporte para sistema logístico de cana-de-açúcar*_x000a_*Divide o canavial em distritos e zonas, faz alocação dos caminhões onde cada zona é utilizada por um caminhão._x000a_*Considera o períodos T para satisfazer condição de moagem_x000a__x000a_* A função objetivo é o custo total do custo de transporte, custo de instalação, custo de produção e custo de_x000a_manutenção_x000a_-custo de transporte, custo da distância entre a estação de caminhões j e a zona de canavial i, adicionando o custo da distância entre a zona de canavial i e a usina de açúcar_x000a_-custo de instalação, é o produto do custo de instalação por tempo sij e a variável de decisão uijtl. _x000a_-custo de produção, que é o produto do custo de produção por tonelada de cana-de-açúcar e a variável de decisão tamanho do lote de transporte qijtl. _x000a_-custo de manutenção é o produto do custo de manutenção por unidade cit (mantida em zonas de canavial) e a variável de decisão _x000a__x000a_No primeiro estágio, a decisão é tomada em um momento específico do início do planejamento._x000a_Formulamos o modelo de segundo estágio usando um modelo de programação inteira mista como um horizonte finito. _x000a_O objetivo é minimizar o custo geral esperado, incluindo custo de transporte, custo de configuração (corte de cana e carga-descarga de cana para caminhões), custo de produção e custo de manutenção."/>
    <x v="12"/>
    <n v="0"/>
  </r>
  <r>
    <s v="Hafezi N.; Sheikhdavoodi M.J.; Bahrami H.; Alavi S.E."/>
    <x v="37"/>
    <s v="Otimização da Prioridade de Colheita de Fazendas de Cana-de-Açúcar pelo Problema de Atribuição Generalizada"/>
    <x v="1"/>
    <s v="Irã"/>
    <s v="Irã"/>
    <s v="programação inteira mista para modelar o tempo de colheita de fazendas de cana-de-açúcar em um horizonte de 7 meses."/>
    <x v="15"/>
    <n v="0"/>
  </r>
  <r>
    <s v="Zimberg B.; Testuri C.E."/>
    <x v="38"/>
    <s v="Análise estocástica da aquisição e processamento de petróleo bruto sob demanda incerta de óleo combustível de bunker"/>
    <x v="0"/>
    <m/>
    <m/>
    <s v="Um modelo estocástico simplificado para a refinaria Administración Nacional de Combustibles Alcohol y Portland_x000a_Neste modelo, os benefícios do processo de produção são maximizados, tomando decisões sobre a matéria-prima mais adequada, produtos intermediários e misturas finais para atender aos requisitos de qualidade e demanda dos produtos finais."/>
    <x v="17"/>
    <n v="5"/>
  </r>
  <r>
    <m/>
    <x v="39"/>
    <m/>
    <x v="4"/>
    <m/>
    <m/>
    <m/>
    <x v="1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s v="Principal"/>
    <x v="0"/>
    <x v="0"/>
  </r>
  <r>
    <s v="Coautor"/>
    <x v="1"/>
    <x v="1"/>
  </r>
  <r>
    <s v="Coautor"/>
    <x v="2"/>
    <x v="2"/>
  </r>
  <r>
    <s v="Principal"/>
    <x v="3"/>
    <x v="3"/>
  </r>
  <r>
    <s v="Coautor"/>
    <x v="4"/>
    <x v="4"/>
  </r>
  <r>
    <s v="Coautor"/>
    <x v="5"/>
    <x v="4"/>
  </r>
  <r>
    <s v="Principal"/>
    <x v="6"/>
    <x v="0"/>
  </r>
  <r>
    <s v="Coautor"/>
    <x v="7"/>
    <x v="0"/>
  </r>
  <r>
    <s v="Principal"/>
    <x v="8"/>
    <x v="0"/>
  </r>
  <r>
    <s v="Coautor"/>
    <x v="9"/>
    <x v="0"/>
  </r>
  <r>
    <s v="Coautor"/>
    <x v="10"/>
    <x v="0"/>
  </r>
  <r>
    <s v="Principal"/>
    <x v="11"/>
    <x v="5"/>
  </r>
  <r>
    <s v="Coautor"/>
    <x v="12"/>
    <x v="5"/>
  </r>
  <r>
    <s v="Coautor"/>
    <x v="13"/>
    <x v="5"/>
  </r>
  <r>
    <s v="Coautor"/>
    <x v="14"/>
    <x v="5"/>
  </r>
  <r>
    <s v="Coautor"/>
    <x v="15"/>
    <x v="5"/>
  </r>
  <r>
    <s v="Coautor"/>
    <x v="16"/>
    <x v="5"/>
  </r>
  <r>
    <s v="Principal"/>
    <x v="8"/>
    <x v="0"/>
  </r>
  <r>
    <s v="Coautor"/>
    <x v="10"/>
    <x v="0"/>
  </r>
  <r>
    <s v="Principal"/>
    <x v="6"/>
    <x v="0"/>
  </r>
  <r>
    <s v="Coautor"/>
    <x v="7"/>
    <x v="0"/>
  </r>
  <r>
    <s v="Coautor"/>
    <x v="17"/>
    <x v="0"/>
  </r>
  <r>
    <s v="Principal"/>
    <x v="8"/>
    <x v="0"/>
  </r>
  <r>
    <s v="Coautor"/>
    <x v="10"/>
    <x v="0"/>
  </r>
  <r>
    <s v="Principal"/>
    <x v="18"/>
    <x v="6"/>
  </r>
  <r>
    <s v="Coautor"/>
    <x v="19"/>
    <x v="6"/>
  </r>
  <r>
    <s v="Coautor"/>
    <x v="20"/>
    <x v="7"/>
  </r>
  <r>
    <s v="Principal"/>
    <x v="21"/>
    <x v="4"/>
  </r>
  <r>
    <s v="Coautor"/>
    <x v="22"/>
    <x v="4"/>
  </r>
  <r>
    <s v="Principal"/>
    <x v="23"/>
    <x v="0"/>
  </r>
  <r>
    <s v="Coautor"/>
    <x v="10"/>
    <x v="0"/>
  </r>
  <r>
    <s v="Principal"/>
    <x v="8"/>
    <x v="0"/>
  </r>
  <r>
    <s v="Coautor"/>
    <x v="10"/>
    <x v="0"/>
  </r>
  <r>
    <s v="Principal"/>
    <x v="24"/>
    <x v="8"/>
  </r>
  <r>
    <s v="Coautor"/>
    <x v="25"/>
    <x v="8"/>
  </r>
  <r>
    <s v="Coautor"/>
    <x v="26"/>
    <x v="8"/>
  </r>
  <r>
    <s v="Coautor"/>
    <x v="27"/>
    <x v="8"/>
  </r>
  <r>
    <s v="Principal"/>
    <x v="23"/>
    <x v="0"/>
  </r>
  <r>
    <s v="Coautor"/>
    <x v="10"/>
    <x v="0"/>
  </r>
  <r>
    <s v="Principal"/>
    <x v="28"/>
    <x v="9"/>
  </r>
  <r>
    <s v="Coautor"/>
    <x v="29"/>
    <x v="9"/>
  </r>
  <r>
    <s v="Coautor"/>
    <x v="30"/>
    <x v="9"/>
  </r>
  <r>
    <s v="Principal"/>
    <x v="31"/>
    <x v="4"/>
  </r>
  <r>
    <s v="Coautor"/>
    <x v="32"/>
    <x v="4"/>
  </r>
  <r>
    <s v="Coautor"/>
    <x v="33"/>
    <x v="4"/>
  </r>
  <r>
    <s v="Coautor"/>
    <x v="34"/>
    <x v="4"/>
  </r>
  <r>
    <s v="Principal"/>
    <x v="35"/>
    <x v="4"/>
  </r>
  <r>
    <s v="Coautor"/>
    <x v="36"/>
    <x v="4"/>
  </r>
  <r>
    <s v="Coautor"/>
    <x v="37"/>
    <x v="4"/>
  </r>
  <r>
    <s v="Principal"/>
    <x v="23"/>
    <x v="0"/>
  </r>
  <r>
    <s v="Coautor"/>
    <x v="10"/>
    <x v="0"/>
  </r>
  <r>
    <s v="Principal"/>
    <x v="11"/>
    <x v="5"/>
  </r>
  <r>
    <s v="Coautor"/>
    <x v="13"/>
    <x v="5"/>
  </r>
  <r>
    <s v="Coautor"/>
    <x v="14"/>
    <x v="5"/>
  </r>
  <r>
    <s v="Coautor"/>
    <x v="15"/>
    <x v="5"/>
  </r>
  <r>
    <s v="Coautor"/>
    <x v="38"/>
    <x v="5"/>
  </r>
  <r>
    <s v="Principal"/>
    <x v="39"/>
    <x v="0"/>
  </r>
  <r>
    <s v="Coautor"/>
    <x v="0"/>
    <x v="0"/>
  </r>
  <r>
    <s v="Coautor"/>
    <x v="40"/>
    <x v="0"/>
  </r>
  <r>
    <s v="Coautor"/>
    <x v="41"/>
    <x v="0"/>
  </r>
  <r>
    <s v="Coautor"/>
    <x v="42"/>
    <x v="0"/>
  </r>
  <r>
    <s v="Principal"/>
    <x v="28"/>
    <x v="9"/>
  </r>
  <r>
    <s v="Coautor"/>
    <x v="43"/>
    <x v="9"/>
  </r>
  <r>
    <s v="Coautor"/>
    <x v="30"/>
    <x v="9"/>
  </r>
  <r>
    <s v="Principal"/>
    <x v="8"/>
    <x v="0"/>
  </r>
  <r>
    <s v="Coautor"/>
    <x v="10"/>
    <x v="0"/>
  </r>
  <r>
    <s v="Principal"/>
    <x v="44"/>
    <x v="8"/>
  </r>
  <r>
    <s v="Coautor"/>
    <x v="45"/>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A4F09C-C8BF-4E66-92D4-4CF113F338C8}" name="Tabela dinâmica3" cacheId="1"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Autor">
  <location ref="A1:C48" firstHeaderRow="1" firstDataRow="1" firstDataCol="2"/>
  <pivotFields count="3">
    <pivotField dataField="1" showAll="0"/>
    <pivotField axis="axisRow" outline="0" showAll="0" sortType="descending" defaultSubtota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autoSortScope>
        <pivotArea dataOnly="0" outline="0" fieldPosition="0">
          <references count="1">
            <reference field="4294967294" count="1" selected="0">
              <x v="0"/>
            </reference>
          </references>
        </pivotArea>
      </autoSortScope>
    </pivotField>
    <pivotField axis="axisRow" outline="0" showAll="0">
      <items count="11">
        <item x="1"/>
        <item x="9"/>
        <item x="3"/>
        <item x="5"/>
        <item x="4"/>
        <item x="8"/>
        <item x="7"/>
        <item x="2"/>
        <item x="6"/>
        <item x="0"/>
        <item t="default"/>
      </items>
    </pivotField>
  </pivotFields>
  <rowFields count="2">
    <field x="1"/>
    <field x="2"/>
  </rowFields>
  <rowItems count="47">
    <i>
      <x v="10"/>
      <x v="9"/>
    </i>
    <i>
      <x v="8"/>
      <x v="9"/>
    </i>
    <i>
      <x v="23"/>
      <x v="9"/>
    </i>
    <i>
      <x v="13"/>
      <x v="3"/>
    </i>
    <i>
      <x v="7"/>
      <x v="9"/>
    </i>
    <i>
      <x v="14"/>
      <x v="3"/>
    </i>
    <i>
      <x v="15"/>
      <x v="3"/>
    </i>
    <i>
      <x v="6"/>
      <x v="9"/>
    </i>
    <i>
      <x v="28"/>
      <x v="1"/>
    </i>
    <i>
      <x v="30"/>
      <x v="1"/>
    </i>
    <i>
      <x v="11"/>
      <x v="3"/>
    </i>
    <i>
      <x/>
      <x v="9"/>
    </i>
    <i>
      <x v="43"/>
      <x v="1"/>
    </i>
    <i>
      <x v="35"/>
      <x v="4"/>
    </i>
    <i>
      <x v="31"/>
      <x v="4"/>
    </i>
    <i>
      <x v="1"/>
      <x/>
    </i>
    <i>
      <x v="39"/>
      <x v="9"/>
    </i>
    <i>
      <x v="2"/>
      <x v="7"/>
    </i>
    <i>
      <x v="29"/>
      <x v="1"/>
    </i>
    <i>
      <x v="3"/>
      <x v="2"/>
    </i>
    <i>
      <x v="33"/>
      <x v="4"/>
    </i>
    <i>
      <x v="16"/>
      <x v="3"/>
    </i>
    <i>
      <x v="37"/>
      <x v="4"/>
    </i>
    <i>
      <x v="17"/>
      <x v="9"/>
    </i>
    <i>
      <x v="41"/>
      <x v="9"/>
    </i>
    <i>
      <x v="18"/>
      <x v="8"/>
    </i>
    <i>
      <x v="12"/>
      <x v="3"/>
    </i>
    <i>
      <x v="19"/>
      <x v="8"/>
    </i>
    <i>
      <x v="5"/>
      <x v="4"/>
    </i>
    <i>
      <x v="20"/>
      <x v="6"/>
    </i>
    <i>
      <x v="32"/>
      <x v="4"/>
    </i>
    <i>
      <x v="21"/>
      <x v="4"/>
    </i>
    <i>
      <x v="34"/>
      <x v="4"/>
    </i>
    <i>
      <x v="45"/>
      <x v="5"/>
    </i>
    <i>
      <x v="36"/>
      <x v="4"/>
    </i>
    <i>
      <x v="9"/>
      <x v="9"/>
    </i>
    <i>
      <x v="38"/>
      <x v="3"/>
    </i>
    <i>
      <x v="24"/>
      <x v="5"/>
    </i>
    <i>
      <x v="40"/>
      <x v="9"/>
    </i>
    <i>
      <x v="25"/>
      <x v="5"/>
    </i>
    <i>
      <x v="42"/>
      <x v="9"/>
    </i>
    <i>
      <x v="26"/>
      <x v="5"/>
    </i>
    <i>
      <x v="44"/>
      <x v="5"/>
    </i>
    <i>
      <x v="27"/>
      <x v="5"/>
    </i>
    <i>
      <x v="4"/>
      <x v="4"/>
    </i>
    <i>
      <x v="22"/>
      <x v="4"/>
    </i>
    <i t="grand">
      <x/>
    </i>
  </rowItems>
  <colItems count="1">
    <i/>
  </colItems>
  <dataFields count="1">
    <dataField name="Publicaçõ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561674-4196-4D42-BA7D-90BF7AD24219}" name="Tabela dinâmica4"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location ref="A3:C27" firstHeaderRow="1" firstDataRow="1" firstDataCol="2" rowPageCount="1" colPageCount="1"/>
  <pivotFields count="9">
    <pivotField showAll="0"/>
    <pivotField axis="axisRow" outline="0" showAll="0" sortType="descending" defaultSubtotal="0">
      <items count="40">
        <item x="0"/>
        <item x="16"/>
        <item x="17"/>
        <item x="5"/>
        <item x="25"/>
        <item x="36"/>
        <item x="20"/>
        <item x="35"/>
        <item x="14"/>
        <item x="4"/>
        <item x="31"/>
        <item x="11"/>
        <item x="12"/>
        <item x="29"/>
        <item x="22"/>
        <item x="21"/>
        <item x="15"/>
        <item x="30"/>
        <item x="7"/>
        <item x="18"/>
        <item x="8"/>
        <item x="9"/>
        <item x="27"/>
        <item x="24"/>
        <item x="10"/>
        <item x="1"/>
        <item x="13"/>
        <item x="19"/>
        <item x="37"/>
        <item x="26"/>
        <item x="34"/>
        <item x="3"/>
        <item x="6"/>
        <item x="28"/>
        <item x="33"/>
        <item x="38"/>
        <item x="2"/>
        <item x="23"/>
        <item x="32"/>
        <item x="39"/>
      </items>
      <autoSortScope>
        <pivotArea dataOnly="0" outline="0" fieldPosition="0">
          <references count="1">
            <reference field="4294967294" count="1" selected="0">
              <x v="0"/>
            </reference>
          </references>
        </pivotArea>
      </autoSortScope>
    </pivotField>
    <pivotField showAll="0"/>
    <pivotField axis="axisPage" showAll="0">
      <items count="6">
        <item x="1"/>
        <item x="2"/>
        <item x="0"/>
        <item x="4"/>
        <item x="3"/>
        <item t="default"/>
      </items>
    </pivotField>
    <pivotField showAll="0"/>
    <pivotField showAll="0"/>
    <pivotField showAll="0"/>
    <pivotField axis="axisRow" showAll="0" defaultSubtotal="0">
      <items count="19">
        <item x="17"/>
        <item x="9"/>
        <item x="4"/>
        <item x="16"/>
        <item x="13"/>
        <item x="1"/>
        <item x="2"/>
        <item x="5"/>
        <item x="6"/>
        <item x="12"/>
        <item x="3"/>
        <item x="0"/>
        <item x="8"/>
        <item x="7"/>
        <item x="10"/>
        <item x="11"/>
        <item x="14"/>
        <item x="15"/>
        <item x="18"/>
      </items>
    </pivotField>
    <pivotField dataField="1" showAll="0"/>
  </pivotFields>
  <rowFields count="2">
    <field x="1"/>
    <field x="7"/>
  </rowFields>
  <rowItems count="24">
    <i>
      <x v="25"/>
      <x v="5"/>
    </i>
    <i>
      <x v="36"/>
      <x v="6"/>
    </i>
    <i>
      <x v="9"/>
      <x v="2"/>
    </i>
    <i>
      <x v="3"/>
      <x v="7"/>
    </i>
    <i>
      <x v="21"/>
      <x v="6"/>
    </i>
    <i>
      <x v="20"/>
      <x v="12"/>
    </i>
    <i>
      <x v="24"/>
      <x v="8"/>
    </i>
    <i>
      <x v="11"/>
      <x v="12"/>
    </i>
    <i>
      <x v="26"/>
      <x v="10"/>
    </i>
    <i>
      <x v="16"/>
      <x v="14"/>
    </i>
    <i>
      <x v="1"/>
      <x v="14"/>
    </i>
    <i>
      <x v="19"/>
      <x v="15"/>
    </i>
    <i>
      <x v="2"/>
      <x v="12"/>
    </i>
    <i>
      <x v="15"/>
      <x v="7"/>
    </i>
    <i>
      <x v="37"/>
      <x v="4"/>
    </i>
    <i>
      <x v="23"/>
      <x v="2"/>
    </i>
    <i>
      <x v="4"/>
      <x v="16"/>
    </i>
    <i>
      <x v="33"/>
      <x v="11"/>
    </i>
    <i>
      <x v="29"/>
      <x v="6"/>
    </i>
    <i>
      <x v="13"/>
      <x v="7"/>
    </i>
    <i>
      <x v="10"/>
      <x v="13"/>
    </i>
    <i>
      <x v="34"/>
      <x v="16"/>
    </i>
    <i>
      <x v="28"/>
      <x v="17"/>
    </i>
    <i t="grand">
      <x/>
    </i>
  </rowItems>
  <colItems count="1">
    <i/>
  </colItems>
  <pageFields count="1">
    <pageField fld="3" item="0" hier="-1"/>
  </pageFields>
  <dataFields count="1">
    <dataField name="Soma de Cited by" fld="8" baseField="0" baseItem="0"/>
  </dataFields>
  <formats count="24">
    <format dxfId="23">
      <pivotArea collapsedLevelsAreSubtotals="1" fieldPosition="0">
        <references count="2">
          <reference field="1" count="1" selected="0">
            <x v="25"/>
          </reference>
          <reference field="7" count="1">
            <x v="5"/>
          </reference>
        </references>
      </pivotArea>
    </format>
    <format dxfId="22">
      <pivotArea collapsedLevelsAreSubtotals="1" fieldPosition="0">
        <references count="2">
          <reference field="1" count="1" selected="0">
            <x v="36"/>
          </reference>
          <reference field="7" count="1">
            <x v="6"/>
          </reference>
        </references>
      </pivotArea>
    </format>
    <format dxfId="21">
      <pivotArea collapsedLevelsAreSubtotals="1" fieldPosition="0">
        <references count="2">
          <reference field="1" count="1" selected="0">
            <x v="9"/>
          </reference>
          <reference field="7" count="1">
            <x v="2"/>
          </reference>
        </references>
      </pivotArea>
    </format>
    <format dxfId="20">
      <pivotArea collapsedLevelsAreSubtotals="1" fieldPosition="0">
        <references count="2">
          <reference field="1" count="1" selected="0">
            <x v="3"/>
          </reference>
          <reference field="7" count="1">
            <x v="7"/>
          </reference>
        </references>
      </pivotArea>
    </format>
    <format dxfId="19">
      <pivotArea collapsedLevelsAreSubtotals="1" fieldPosition="0">
        <references count="2">
          <reference field="1" count="1" selected="0">
            <x v="21"/>
          </reference>
          <reference field="7" count="1">
            <x v="6"/>
          </reference>
        </references>
      </pivotArea>
    </format>
    <format dxfId="18">
      <pivotArea collapsedLevelsAreSubtotals="1" fieldPosition="0">
        <references count="2">
          <reference field="1" count="1" selected="0">
            <x v="20"/>
          </reference>
          <reference field="7" count="1">
            <x v="12"/>
          </reference>
        </references>
      </pivotArea>
    </format>
    <format dxfId="17">
      <pivotArea collapsedLevelsAreSubtotals="1" fieldPosition="0">
        <references count="2">
          <reference field="1" count="1" selected="0">
            <x v="24"/>
          </reference>
          <reference field="7" count="1">
            <x v="8"/>
          </reference>
        </references>
      </pivotArea>
    </format>
    <format dxfId="16">
      <pivotArea collapsedLevelsAreSubtotals="1" fieldPosition="0">
        <references count="2">
          <reference field="1" count="1" selected="0">
            <x v="11"/>
          </reference>
          <reference field="7" count="1">
            <x v="12"/>
          </reference>
        </references>
      </pivotArea>
    </format>
    <format dxfId="15">
      <pivotArea collapsedLevelsAreSubtotals="1" fieldPosition="0">
        <references count="2">
          <reference field="1" count="1" selected="0">
            <x v="26"/>
          </reference>
          <reference field="7" count="1">
            <x v="10"/>
          </reference>
        </references>
      </pivotArea>
    </format>
    <format dxfId="14">
      <pivotArea collapsedLevelsAreSubtotals="1" fieldPosition="0">
        <references count="2">
          <reference field="1" count="1" selected="0">
            <x v="8"/>
          </reference>
          <reference field="7" count="1">
            <x v="1"/>
          </reference>
        </references>
      </pivotArea>
    </format>
    <format dxfId="13">
      <pivotArea dataOnly="0" labelOnly="1" fieldPosition="0">
        <references count="1">
          <reference field="1" count="10">
            <x v="3"/>
            <x v="8"/>
            <x v="9"/>
            <x v="11"/>
            <x v="20"/>
            <x v="21"/>
            <x v="24"/>
            <x v="25"/>
            <x v="26"/>
            <x v="36"/>
          </reference>
        </references>
      </pivotArea>
    </format>
    <format dxfId="12">
      <pivotArea dataOnly="0" labelOnly="1" fieldPosition="0">
        <references count="2">
          <reference field="1" count="1" selected="0">
            <x v="25"/>
          </reference>
          <reference field="7" count="1">
            <x v="5"/>
          </reference>
        </references>
      </pivotArea>
    </format>
    <format dxfId="11">
      <pivotArea dataOnly="0" labelOnly="1" fieldPosition="0">
        <references count="2">
          <reference field="1" count="1" selected="0">
            <x v="36"/>
          </reference>
          <reference field="7" count="1">
            <x v="6"/>
          </reference>
        </references>
      </pivotArea>
    </format>
    <format dxfId="10">
      <pivotArea dataOnly="0" labelOnly="1" fieldPosition="0">
        <references count="2">
          <reference field="1" count="1" selected="0">
            <x v="9"/>
          </reference>
          <reference field="7" count="1">
            <x v="2"/>
          </reference>
        </references>
      </pivotArea>
    </format>
    <format dxfId="9">
      <pivotArea dataOnly="0" labelOnly="1" fieldPosition="0">
        <references count="2">
          <reference field="1" count="1" selected="0">
            <x v="3"/>
          </reference>
          <reference field="7" count="1">
            <x v="7"/>
          </reference>
        </references>
      </pivotArea>
    </format>
    <format dxfId="8">
      <pivotArea dataOnly="0" labelOnly="1" fieldPosition="0">
        <references count="2">
          <reference field="1" count="1" selected="0">
            <x v="21"/>
          </reference>
          <reference field="7" count="1">
            <x v="6"/>
          </reference>
        </references>
      </pivotArea>
    </format>
    <format dxfId="7">
      <pivotArea dataOnly="0" labelOnly="1" fieldPosition="0">
        <references count="2">
          <reference field="1" count="1" selected="0">
            <x v="20"/>
          </reference>
          <reference field="7" count="1">
            <x v="12"/>
          </reference>
        </references>
      </pivotArea>
    </format>
    <format dxfId="6">
      <pivotArea dataOnly="0" labelOnly="1" fieldPosition="0">
        <references count="2">
          <reference field="1" count="1" selected="0">
            <x v="24"/>
          </reference>
          <reference field="7" count="1">
            <x v="8"/>
          </reference>
        </references>
      </pivotArea>
    </format>
    <format dxfId="5">
      <pivotArea dataOnly="0" labelOnly="1" fieldPosition="0">
        <references count="2">
          <reference field="1" count="1" selected="0">
            <x v="11"/>
          </reference>
          <reference field="7" count="1">
            <x v="12"/>
          </reference>
        </references>
      </pivotArea>
    </format>
    <format dxfId="4">
      <pivotArea dataOnly="0" labelOnly="1" fieldPosition="0">
        <references count="2">
          <reference field="1" count="1" selected="0">
            <x v="26"/>
          </reference>
          <reference field="7" count="1">
            <x v="10"/>
          </reference>
        </references>
      </pivotArea>
    </format>
    <format dxfId="3">
      <pivotArea dataOnly="0" labelOnly="1" fieldPosition="0">
        <references count="2">
          <reference field="1" count="1" selected="0">
            <x v="8"/>
          </reference>
          <reference field="7" count="1">
            <x v="1"/>
          </reference>
        </references>
      </pivotArea>
    </format>
    <format dxfId="2">
      <pivotArea collapsedLevelsAreSubtotals="1" fieldPosition="0">
        <references count="2">
          <reference field="1" count="1" selected="0">
            <x v="16"/>
          </reference>
          <reference field="7" count="1">
            <x v="14"/>
          </reference>
        </references>
      </pivotArea>
    </format>
    <format dxfId="1">
      <pivotArea dataOnly="0" labelOnly="1" fieldPosition="0">
        <references count="1">
          <reference field="1" count="1">
            <x v="16"/>
          </reference>
        </references>
      </pivotArea>
    </format>
    <format dxfId="0">
      <pivotArea dataOnly="0" labelOnly="1" fieldPosition="0">
        <references count="2">
          <reference field="1" count="1" selected="0">
            <x v="16"/>
          </reference>
          <reference field="7"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15872E-33C3-4445-AF36-E34F5891F3B7}" name="Tabela1" displayName="Tabela1" ref="A1:T37" totalsRowShown="0" headerRowDxfId="60" dataDxfId="59">
  <autoFilter ref="A1:T37" xr:uid="{5B15872E-33C3-4445-AF36-E34F5891F3B7}"/>
  <tableColumns count="20">
    <tableColumn id="1" xr3:uid="{C72A08D5-D7A6-4175-9E45-BD8FD0ED4F35}" name="ID" dataDxfId="58"/>
    <tableColumn id="8" xr3:uid="{D2004490-5EB8-4D1A-921B-923DDD66917B}" name="Classificação" dataDxfId="57"/>
    <tableColumn id="3" xr3:uid="{E6E218DF-33DC-4975-B758-907B669DEE3C}" name="Ano" dataDxfId="56"/>
    <tableColumn id="2" xr3:uid="{D9DF502B-B495-4579-9F1D-D5090C8BB8C4}" name="Autores" dataDxfId="55"/>
    <tableColumn id="4" xr3:uid="{64EA875F-161C-466D-9278-68F3612FC596}" name="Título" dataDxfId="54"/>
    <tableColumn id="5" xr3:uid="{CCEB5FFE-2850-46D2-97BE-F45FC252E612}" name="Jounal" dataDxfId="53"/>
    <tableColumn id="6" xr3:uid="{EA14212B-03D1-4D96-975B-757793DC63A3}" name="SJR" dataDxfId="52"/>
    <tableColumn id="7" xr3:uid="{B34821F4-0971-4DCD-BD92-B15C7E6FEC60}" name="Citações" dataDxfId="51"/>
    <tableColumn id="16" xr3:uid="{DED63C23-407E-4847-BBA5-58F650252D9C}" name="País Aplicação" dataDxfId="50"/>
    <tableColumn id="17" xr3:uid="{FE48BC1C-2E84-4104-848D-6E1741E7B652}" name="País Autor Principal" dataDxfId="49"/>
    <tableColumn id="9" xr3:uid="{7A65EE2D-74C2-4701-932F-A799A98A399B}" name="Abordagem Primpária" dataDxfId="48"/>
    <tableColumn id="10" xr3:uid="{ED524D2A-261F-4846-917C-E595EF7A2847}" name="Abordagem Secundária" dataDxfId="47"/>
    <tableColumn id="11" xr3:uid="{F2A18FC6-FEDC-49A5-9F26-41CA96DCB6DB}" name="Plataforma de Resolução" dataDxfId="46"/>
    <tableColumn id="12" xr3:uid="{D40FD948-D8DB-4F1F-AC78-615A2FB3D095}" name="Objetivo Primário" dataDxfId="45"/>
    <tableColumn id="13" xr3:uid="{2218AECD-E3AE-4CD2-8FA4-2FA0B18B394B}" name="Objetivo Secundário" dataDxfId="44"/>
    <tableColumn id="14" xr3:uid="{100ECBEF-7F52-473B-9E17-0E8732320FEE}" name="Etapa da Cadeia Produtiva" dataDxfId="43"/>
    <tableColumn id="15" xr3:uid="{DF596893-B00C-4378-AE5C-20DCADE8BB7E}" name="Nível de Decisão" dataDxfId="42"/>
    <tableColumn id="18" xr3:uid="{A68E1083-627B-4D0D-893A-06F26AFF6015}" name="DOI" dataDxfId="41"/>
    <tableColumn id="19" xr3:uid="{5750B6BF-845F-486D-BE3D-558091542AA0}" name="Link" dataDxfId="40"/>
    <tableColumn id="20" xr3:uid="{B0D48488-EF98-4897-B58B-BF2E82C775A5}" name="Palavras-chave autor" dataDxfId="3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B8509F-616D-4A90-9694-1C9EFFF7E742}" name="Tabela2" displayName="Tabela2" ref="A1:B20" totalsRowShown="0">
  <autoFilter ref="A1:B20" xr:uid="{2BB8509F-616D-4A90-9694-1C9EFFF7E742}"/>
  <tableColumns count="2">
    <tableColumn id="1" xr3:uid="{8DB3073D-410D-4479-9DB7-2CACB8DF17D3}" name="Título" dataDxfId="38"/>
    <tableColumn id="2" xr3:uid="{D3D3D7FA-F449-4990-943B-BC07C62E1298}" name="D - Duplicado" dataDxfId="3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840B0C3-3C81-4B8E-8241-605CE7CE7CDC}" name="Tabela9" displayName="Tabela9" ref="A1:C35" totalsRowShown="0" headerRowDxfId="36">
  <autoFilter ref="A1:C35" xr:uid="{5840B0C3-3C81-4B8E-8241-605CE7CE7CDC}"/>
  <tableColumns count="3">
    <tableColumn id="1" xr3:uid="{847EFA08-E296-4CEE-A836-8504BC9F07A9}" name="Tipo"/>
    <tableColumn id="2" xr3:uid="{BECAEE2B-E2B3-466A-8FB2-D8A4991AEA2D}" name="Sigla"/>
    <tableColumn id="3" xr3:uid="{4AC5C6DB-57EB-477C-BBDF-7DE3B8EC321C}" name="Descrição"/>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EF0F28-23C2-433E-A3A4-489DF3D30FD8}" name="Tabela4" displayName="Tabela4" ref="A1:B17" totalsRowShown="0" headerRowDxfId="35" headerRowBorderDxfId="34">
  <autoFilter ref="A1:B17" xr:uid="{17EF0F28-23C2-433E-A3A4-489DF3D30FD8}"/>
  <tableColumns count="2">
    <tableColumn id="1" xr3:uid="{31A65252-ABB6-4B9D-B50B-F7EE20FADA3E}" name="Ano" dataDxfId="33"/>
    <tableColumn id="2" xr3:uid="{5CBA1A06-A6E8-483A-8653-FAE023154275}" name="Publicações">
      <calculatedColumnFormula>COUNTIFS('Base Artigos'!$C$2:$C$24,'Publicações por ano'!A2)</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4C85CA-92A9-4D4E-A0B1-74FF429A3D12}" name="Tabela5" displayName="Tabela5" ref="A1:C11" totalsRowShown="0" headerRowDxfId="32" headerRowBorderDxfId="31">
  <autoFilter ref="A1:C11" xr:uid="{0A4C85CA-92A9-4D4E-A0B1-74FF429A3D12}"/>
  <tableColumns count="3">
    <tableColumn id="1" xr3:uid="{286586AF-7072-461A-9774-0DF020839BD6}" name="País" dataDxfId="30"/>
    <tableColumn id="2" xr3:uid="{43876EB8-BED7-44C5-84DD-2D3D3E39C887}" name="Coautores">
      <calculatedColumnFormula>COUNTIFS($A$18:$A$85,"Coautor",$C$18:$C$85,A2)</calculatedColumnFormula>
    </tableColumn>
    <tableColumn id="3" xr3:uid="{3B9003AD-443F-44C8-9E12-7D54F017447D}" name="Autor principal">
      <calculatedColumnFormula>COUNTIFS($A$18:$A$85,"Principal",$C$18:$C$85,A2)</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2FB5FA-A4AD-4603-9A0A-6FB6772A9186}" name="Tabela6" displayName="Tabela6" ref="A1:B7" totalsRowShown="0" headerRowDxfId="29" headerRowBorderDxfId="28">
  <autoFilter ref="A1:B7" xr:uid="{F12FB5FA-A4AD-4603-9A0A-6FB6772A9186}"/>
  <tableColumns count="2">
    <tableColumn id="1" xr3:uid="{1ECD0F7A-0FF9-471D-B7C2-FEF5A684EE59}" name="País aplicação" dataDxfId="27"/>
    <tableColumn id="2" xr3:uid="{8F5F8D9C-97AC-4C7C-9E23-49FA649F26C5}" name="Publicações">
      <calculatedColumnFormula>COUNTIFS('Base Artigos'!$I$2:$I$24,'Publicações país aplicação'!A2)</calculatedColumnFormula>
    </tableColum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4B4B92E-482D-410B-81C7-D74A0C160446}" name="Tabela7" displayName="Tabela7" ref="E1:F14" totalsRowShown="0" headerRowDxfId="26" headerRowBorderDxfId="25">
  <autoFilter ref="E1:F14" xr:uid="{74B4B92E-482D-410B-81C7-D74A0C160446}"/>
  <tableColumns count="2">
    <tableColumn id="1" xr3:uid="{F922557C-216E-4C84-9A35-380C3E114CCC}" name="Autor" dataDxfId="24"/>
    <tableColumn id="2" xr3:uid="{469A23E9-F967-4D0D-9BCA-4C41352240EB}" name="Quantidade"/>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789A8-BF19-470B-BEDD-BD7A53890A00}">
  <dimension ref="A1:X37"/>
  <sheetViews>
    <sheetView tabSelected="1" workbookViewId="0"/>
  </sheetViews>
  <sheetFormatPr defaultRowHeight="15" x14ac:dyDescent="0.25"/>
  <cols>
    <col min="1" max="1" width="9.140625" style="2"/>
    <col min="2" max="2" width="15.140625" style="22" customWidth="1"/>
    <col min="3" max="3" width="9.140625" style="1"/>
    <col min="4" max="4" width="24.140625" style="1" customWidth="1"/>
    <col min="5" max="5" width="61.42578125" customWidth="1"/>
    <col min="6" max="6" width="45.7109375" style="1" customWidth="1"/>
    <col min="7" max="7" width="6.42578125" style="3" bestFit="1" customWidth="1"/>
    <col min="8" max="8" width="10.28515625" style="1" bestFit="1" customWidth="1"/>
    <col min="9" max="9" width="13.7109375" style="1" customWidth="1"/>
    <col min="10" max="10" width="13.7109375" style="22" customWidth="1"/>
    <col min="11" max="11" width="12.7109375" style="22" customWidth="1"/>
    <col min="12" max="12" width="12.7109375" customWidth="1"/>
    <col min="13" max="13" width="22.28515625" style="22" customWidth="1"/>
    <col min="14" max="14" width="23.7109375" style="22" customWidth="1"/>
    <col min="15" max="15" width="25.42578125" style="22" customWidth="1"/>
    <col min="16" max="16" width="18.85546875" style="22" customWidth="1"/>
    <col min="17" max="17" width="21.42578125" style="22" customWidth="1"/>
    <col min="18" max="18" width="35.42578125" style="22" customWidth="1"/>
    <col min="19" max="19" width="84" style="22" customWidth="1"/>
    <col min="20" max="20" width="49.5703125" customWidth="1"/>
    <col min="22" max="22" width="31.85546875" style="1" bestFit="1" customWidth="1"/>
    <col min="23" max="23" width="123.42578125" style="1" customWidth="1"/>
    <col min="24" max="24" width="40.85546875" style="1" bestFit="1" customWidth="1"/>
    <col min="25" max="16384" width="9.140625" style="3"/>
  </cols>
  <sheetData>
    <row r="1" spans="1:24" s="1" customFormat="1" ht="30" x14ac:dyDescent="0.25">
      <c r="A1" s="5" t="s">
        <v>557</v>
      </c>
      <c r="B1" s="5" t="s">
        <v>3</v>
      </c>
      <c r="C1" s="11" t="s">
        <v>237</v>
      </c>
      <c r="D1" s="11" t="s">
        <v>558</v>
      </c>
      <c r="E1" s="11" t="s">
        <v>2</v>
      </c>
      <c r="F1" s="11" t="s">
        <v>602</v>
      </c>
      <c r="G1" s="11" t="s">
        <v>603</v>
      </c>
      <c r="H1" s="11" t="s">
        <v>236</v>
      </c>
      <c r="I1" s="5" t="s">
        <v>226</v>
      </c>
      <c r="J1" s="5" t="s">
        <v>566</v>
      </c>
      <c r="K1" s="5" t="s">
        <v>559</v>
      </c>
      <c r="L1" s="5" t="s">
        <v>560</v>
      </c>
      <c r="M1" s="5" t="s">
        <v>564</v>
      </c>
      <c r="N1" s="5" t="s">
        <v>567</v>
      </c>
      <c r="O1" s="5" t="s">
        <v>568</v>
      </c>
      <c r="P1" s="5" t="s">
        <v>588</v>
      </c>
      <c r="Q1" s="5" t="s">
        <v>597</v>
      </c>
      <c r="R1" s="11" t="s">
        <v>109</v>
      </c>
      <c r="S1" s="11" t="s">
        <v>133</v>
      </c>
      <c r="T1" s="11" t="s">
        <v>604</v>
      </c>
    </row>
    <row r="2" spans="1:24" ht="60" customHeight="1" x14ac:dyDescent="0.25">
      <c r="A2" s="2">
        <v>1</v>
      </c>
      <c r="B2" s="22" t="s">
        <v>7</v>
      </c>
      <c r="C2" s="1">
        <v>2019</v>
      </c>
      <c r="D2" s="1" t="s">
        <v>90</v>
      </c>
      <c r="E2" s="1" t="s">
        <v>91</v>
      </c>
      <c r="F2" s="1" t="s">
        <v>207</v>
      </c>
      <c r="G2" s="1">
        <v>0.86199999999999999</v>
      </c>
      <c r="H2" s="1">
        <v>12</v>
      </c>
      <c r="I2" s="22" t="s">
        <v>231</v>
      </c>
      <c r="J2" s="22" t="s">
        <v>228</v>
      </c>
      <c r="K2" s="22" t="s">
        <v>481</v>
      </c>
      <c r="L2" s="22"/>
      <c r="M2" s="22" t="s">
        <v>324</v>
      </c>
      <c r="N2" s="22" t="s">
        <v>569</v>
      </c>
      <c r="O2" s="22" t="s">
        <v>573</v>
      </c>
      <c r="P2" s="22" t="s">
        <v>593</v>
      </c>
      <c r="Q2" s="22" t="s">
        <v>598</v>
      </c>
      <c r="R2" s="1" t="s">
        <v>208</v>
      </c>
      <c r="S2" s="1" t="s">
        <v>209</v>
      </c>
      <c r="T2" s="1" t="s">
        <v>92</v>
      </c>
      <c r="U2" s="3"/>
      <c r="V2" s="3"/>
      <c r="W2" s="3"/>
      <c r="X2" s="3"/>
    </row>
    <row r="3" spans="1:24" ht="60" customHeight="1" x14ac:dyDescent="0.25">
      <c r="A3" s="2">
        <v>2</v>
      </c>
      <c r="B3" s="22" t="s">
        <v>7</v>
      </c>
      <c r="C3" s="1">
        <v>2023</v>
      </c>
      <c r="D3" s="1" t="s">
        <v>24</v>
      </c>
      <c r="E3" s="1" t="s">
        <v>25</v>
      </c>
      <c r="F3" s="1" t="s">
        <v>152</v>
      </c>
      <c r="G3" s="1">
        <v>0.27200000000000002</v>
      </c>
      <c r="H3" s="1">
        <v>1</v>
      </c>
      <c r="I3" s="22" t="s">
        <v>233</v>
      </c>
      <c r="J3" s="22" t="s">
        <v>233</v>
      </c>
      <c r="K3" s="22" t="s">
        <v>503</v>
      </c>
      <c r="L3" s="22" t="s">
        <v>561</v>
      </c>
      <c r="M3" s="22" t="s">
        <v>549</v>
      </c>
      <c r="N3" s="22" t="s">
        <v>586</v>
      </c>
      <c r="O3" s="22" t="s">
        <v>571</v>
      </c>
      <c r="P3" s="22" t="s">
        <v>589</v>
      </c>
      <c r="Q3" s="22" t="s">
        <v>598</v>
      </c>
      <c r="R3" s="1" t="s">
        <v>153</v>
      </c>
      <c r="S3" s="1" t="s">
        <v>154</v>
      </c>
      <c r="T3" s="1" t="s">
        <v>26</v>
      </c>
      <c r="U3" s="3"/>
      <c r="V3" s="3"/>
      <c r="W3" s="3"/>
      <c r="X3" s="3"/>
    </row>
    <row r="4" spans="1:24" ht="60" customHeight="1" x14ac:dyDescent="0.25">
      <c r="A4" s="2">
        <v>3</v>
      </c>
      <c r="B4" s="22" t="s">
        <v>7</v>
      </c>
      <c r="C4" s="1">
        <v>2021</v>
      </c>
      <c r="D4" s="1" t="s">
        <v>67</v>
      </c>
      <c r="E4" s="1" t="s">
        <v>68</v>
      </c>
      <c r="F4" s="1" t="s">
        <v>190</v>
      </c>
      <c r="G4" s="1">
        <v>1.5740000000000001</v>
      </c>
      <c r="H4" s="1">
        <v>13</v>
      </c>
      <c r="I4" s="22" t="s">
        <v>227</v>
      </c>
      <c r="J4" s="22" t="s">
        <v>227</v>
      </c>
      <c r="K4" s="22" t="s">
        <v>485</v>
      </c>
      <c r="L4" s="22" t="s">
        <v>466</v>
      </c>
      <c r="M4" s="22" t="s">
        <v>554</v>
      </c>
      <c r="N4" s="22" t="s">
        <v>584</v>
      </c>
      <c r="O4" s="22" t="s">
        <v>501</v>
      </c>
      <c r="P4" s="22" t="s">
        <v>501</v>
      </c>
      <c r="Q4" s="22" t="s">
        <v>598</v>
      </c>
      <c r="R4" s="1" t="s">
        <v>115</v>
      </c>
      <c r="S4" s="1" t="s">
        <v>191</v>
      </c>
      <c r="T4" s="1" t="s">
        <v>69</v>
      </c>
      <c r="U4" s="3"/>
      <c r="V4" s="3"/>
      <c r="W4" s="3"/>
      <c r="X4" s="3"/>
    </row>
    <row r="5" spans="1:24" ht="60" customHeight="1" x14ac:dyDescent="0.25">
      <c r="A5" s="2">
        <v>4</v>
      </c>
      <c r="B5" s="22" t="s">
        <v>7</v>
      </c>
      <c r="C5" s="1">
        <v>2013</v>
      </c>
      <c r="D5" s="1" t="s">
        <v>84</v>
      </c>
      <c r="E5" s="1" t="s">
        <v>85</v>
      </c>
      <c r="F5" s="1" t="s">
        <v>175</v>
      </c>
      <c r="G5" s="1">
        <v>2.82</v>
      </c>
      <c r="H5" s="1">
        <v>122</v>
      </c>
      <c r="I5" s="22" t="s">
        <v>231</v>
      </c>
      <c r="J5" s="22" t="s">
        <v>231</v>
      </c>
      <c r="K5" s="22" t="s">
        <v>507</v>
      </c>
      <c r="L5" s="22"/>
      <c r="M5" s="22" t="s">
        <v>552</v>
      </c>
      <c r="N5" s="22" t="s">
        <v>579</v>
      </c>
      <c r="P5" s="22" t="s">
        <v>591</v>
      </c>
      <c r="Q5" s="22" t="s">
        <v>598</v>
      </c>
      <c r="R5" s="1" t="s">
        <v>120</v>
      </c>
      <c r="S5" s="1" t="s">
        <v>203</v>
      </c>
      <c r="T5" s="1" t="s">
        <v>86</v>
      </c>
      <c r="U5" s="3"/>
      <c r="V5" s="3"/>
      <c r="W5" s="3"/>
      <c r="X5" s="3"/>
    </row>
    <row r="6" spans="1:24" ht="60" customHeight="1" x14ac:dyDescent="0.25">
      <c r="A6" s="2">
        <v>5</v>
      </c>
      <c r="B6" s="22" t="s">
        <v>7</v>
      </c>
      <c r="C6" s="1">
        <v>2009</v>
      </c>
      <c r="D6" s="1" t="s">
        <v>81</v>
      </c>
      <c r="E6" s="1" t="s">
        <v>82</v>
      </c>
      <c r="F6" s="1" t="s">
        <v>188</v>
      </c>
      <c r="G6" s="1">
        <v>0.73399999999999999</v>
      </c>
      <c r="H6" s="1">
        <v>5</v>
      </c>
      <c r="I6" s="22" t="s">
        <v>565</v>
      </c>
      <c r="J6" s="22" t="s">
        <v>232</v>
      </c>
      <c r="K6" s="22" t="s">
        <v>485</v>
      </c>
      <c r="L6" s="22"/>
      <c r="M6" s="22" t="s">
        <v>549</v>
      </c>
      <c r="N6" s="22" t="s">
        <v>579</v>
      </c>
      <c r="P6" s="22" t="s">
        <v>594</v>
      </c>
      <c r="Q6" s="22" t="s">
        <v>599</v>
      </c>
      <c r="R6" s="1" t="s">
        <v>201</v>
      </c>
      <c r="S6" s="1" t="s">
        <v>202</v>
      </c>
      <c r="T6" s="1" t="s">
        <v>83</v>
      </c>
      <c r="U6" s="3"/>
      <c r="V6" s="3"/>
      <c r="W6" s="3"/>
      <c r="X6" s="3"/>
    </row>
    <row r="7" spans="1:24" ht="60" customHeight="1" x14ac:dyDescent="0.25">
      <c r="A7" s="2">
        <v>6</v>
      </c>
      <c r="B7" s="22" t="s">
        <v>7</v>
      </c>
      <c r="C7" s="1">
        <v>2014</v>
      </c>
      <c r="D7" s="1" t="s">
        <v>61</v>
      </c>
      <c r="E7" s="1" t="s">
        <v>62</v>
      </c>
      <c r="F7" s="1" t="s">
        <v>186</v>
      </c>
      <c r="G7" s="1">
        <v>2.5529999999999999</v>
      </c>
      <c r="H7" s="1">
        <v>10</v>
      </c>
      <c r="I7" s="22" t="s">
        <v>565</v>
      </c>
      <c r="J7" s="22" t="s">
        <v>232</v>
      </c>
      <c r="K7" s="22" t="s">
        <v>481</v>
      </c>
      <c r="L7" s="22"/>
      <c r="M7" s="22" t="s">
        <v>549</v>
      </c>
      <c r="N7" s="22" t="s">
        <v>579</v>
      </c>
      <c r="P7" s="22" t="s">
        <v>594</v>
      </c>
      <c r="Q7" s="22" t="s">
        <v>599</v>
      </c>
      <c r="R7" s="1" t="s">
        <v>123</v>
      </c>
      <c r="S7" s="1" t="s">
        <v>187</v>
      </c>
      <c r="T7" s="1" t="s">
        <v>63</v>
      </c>
      <c r="U7" s="3"/>
      <c r="V7" s="3"/>
      <c r="W7" s="3"/>
      <c r="X7" s="3"/>
    </row>
    <row r="8" spans="1:24" ht="60" customHeight="1" x14ac:dyDescent="0.25">
      <c r="A8" s="2">
        <v>7</v>
      </c>
      <c r="B8" s="22" t="s">
        <v>7</v>
      </c>
      <c r="C8" s="1">
        <v>2014</v>
      </c>
      <c r="D8" s="1" t="s">
        <v>5</v>
      </c>
      <c r="E8" s="1" t="s">
        <v>6</v>
      </c>
      <c r="F8" s="1" t="s">
        <v>134</v>
      </c>
      <c r="G8" s="1">
        <v>3.5550000000000002</v>
      </c>
      <c r="H8" s="1">
        <v>50</v>
      </c>
      <c r="I8" s="22" t="s">
        <v>227</v>
      </c>
      <c r="J8" s="22" t="s">
        <v>227</v>
      </c>
      <c r="K8" s="22" t="s">
        <v>503</v>
      </c>
      <c r="L8" s="22" t="s">
        <v>561</v>
      </c>
      <c r="M8" s="22" t="s">
        <v>551</v>
      </c>
      <c r="N8" s="22" t="s">
        <v>580</v>
      </c>
      <c r="O8" s="22" t="s">
        <v>578</v>
      </c>
      <c r="P8" s="22" t="s">
        <v>591</v>
      </c>
      <c r="Q8" s="22" t="s">
        <v>598</v>
      </c>
      <c r="R8" s="1" t="s">
        <v>112</v>
      </c>
      <c r="S8" s="1" t="s">
        <v>135</v>
      </c>
      <c r="T8" s="1" t="s">
        <v>8</v>
      </c>
      <c r="U8" s="3"/>
      <c r="V8" s="3"/>
      <c r="W8" s="3"/>
      <c r="X8" s="3"/>
    </row>
    <row r="9" spans="1:24" ht="60" customHeight="1" x14ac:dyDescent="0.25">
      <c r="A9" s="2">
        <v>8</v>
      </c>
      <c r="B9" s="22" t="s">
        <v>7</v>
      </c>
      <c r="C9" s="1">
        <v>2013</v>
      </c>
      <c r="D9" s="1" t="s">
        <v>601</v>
      </c>
      <c r="E9" s="1" t="s">
        <v>99</v>
      </c>
      <c r="F9" s="1" t="s">
        <v>214</v>
      </c>
      <c r="G9" s="1">
        <v>1</v>
      </c>
      <c r="H9" s="1">
        <v>40</v>
      </c>
      <c r="I9" s="22" t="s">
        <v>227</v>
      </c>
      <c r="J9" s="22" t="s">
        <v>227</v>
      </c>
      <c r="K9" s="22" t="s">
        <v>503</v>
      </c>
      <c r="L9" s="22" t="s">
        <v>562</v>
      </c>
      <c r="M9" s="22" t="s">
        <v>551</v>
      </c>
      <c r="N9" s="22" t="s">
        <v>580</v>
      </c>
      <c r="O9" s="22" t="s">
        <v>572</v>
      </c>
      <c r="P9" s="22" t="s">
        <v>590</v>
      </c>
      <c r="Q9" s="22" t="s">
        <v>598</v>
      </c>
      <c r="R9" s="1" t="s">
        <v>111</v>
      </c>
      <c r="S9" s="1" t="s">
        <v>215</v>
      </c>
      <c r="T9" s="1" t="s">
        <v>100</v>
      </c>
      <c r="U9" s="3"/>
      <c r="V9" s="3"/>
      <c r="W9" s="3"/>
      <c r="X9" s="3"/>
    </row>
    <row r="10" spans="1:24" ht="60" customHeight="1" x14ac:dyDescent="0.25">
      <c r="A10" s="2">
        <v>9</v>
      </c>
      <c r="B10" s="22" t="s">
        <v>7</v>
      </c>
      <c r="C10" s="1">
        <v>2017</v>
      </c>
      <c r="D10" s="1" t="s">
        <v>223</v>
      </c>
      <c r="E10" s="1" t="s">
        <v>55</v>
      </c>
      <c r="F10" s="1" t="s">
        <v>149</v>
      </c>
      <c r="G10" s="1">
        <v>0.2</v>
      </c>
      <c r="H10" s="1">
        <v>16</v>
      </c>
      <c r="I10" s="22" t="s">
        <v>227</v>
      </c>
      <c r="J10" s="22" t="s">
        <v>227</v>
      </c>
      <c r="K10" s="22" t="s">
        <v>481</v>
      </c>
      <c r="L10" s="22"/>
      <c r="M10" s="22" t="s">
        <v>551</v>
      </c>
      <c r="N10" s="22" t="s">
        <v>585</v>
      </c>
      <c r="O10" s="22" t="s">
        <v>501</v>
      </c>
      <c r="P10" s="22" t="s">
        <v>501</v>
      </c>
      <c r="Q10" s="22" t="s">
        <v>599</v>
      </c>
      <c r="R10" s="1" t="s">
        <v>182</v>
      </c>
      <c r="S10" s="1" t="s">
        <v>183</v>
      </c>
      <c r="T10" s="1" t="s">
        <v>56</v>
      </c>
      <c r="U10" s="3"/>
      <c r="V10" s="3"/>
      <c r="W10" s="3"/>
      <c r="X10" s="3"/>
    </row>
    <row r="11" spans="1:24" ht="60" customHeight="1" x14ac:dyDescent="0.25">
      <c r="A11" s="2">
        <v>10</v>
      </c>
      <c r="B11" s="22" t="s">
        <v>7</v>
      </c>
      <c r="C11" s="1">
        <v>2018</v>
      </c>
      <c r="D11" s="1" t="s">
        <v>223</v>
      </c>
      <c r="E11" s="1" t="s">
        <v>22</v>
      </c>
      <c r="F11" s="1" t="s">
        <v>149</v>
      </c>
      <c r="G11" s="1">
        <v>0.2</v>
      </c>
      <c r="H11" s="1">
        <v>4</v>
      </c>
      <c r="I11" s="22" t="s">
        <v>227</v>
      </c>
      <c r="J11" s="22" t="s">
        <v>227</v>
      </c>
      <c r="K11" s="22" t="s">
        <v>481</v>
      </c>
      <c r="L11" s="22"/>
      <c r="M11" s="22" t="s">
        <v>551</v>
      </c>
      <c r="N11" s="22" t="s">
        <v>569</v>
      </c>
      <c r="O11" s="22" t="s">
        <v>501</v>
      </c>
      <c r="P11" s="22" t="s">
        <v>501</v>
      </c>
      <c r="Q11" s="22" t="s">
        <v>599</v>
      </c>
      <c r="R11" s="1" t="s">
        <v>150</v>
      </c>
      <c r="S11" s="1" t="s">
        <v>151</v>
      </c>
      <c r="T11" s="1" t="s">
        <v>23</v>
      </c>
      <c r="U11" s="3"/>
      <c r="V11" s="3"/>
      <c r="W11" s="3"/>
      <c r="X11" s="3"/>
    </row>
    <row r="12" spans="1:24" ht="60" customHeight="1" x14ac:dyDescent="0.25">
      <c r="A12" s="2">
        <v>11</v>
      </c>
      <c r="B12" s="22" t="s">
        <v>7</v>
      </c>
      <c r="C12" s="1">
        <v>2019</v>
      </c>
      <c r="D12" s="1" t="s">
        <v>223</v>
      </c>
      <c r="E12" s="1" t="s">
        <v>20</v>
      </c>
      <c r="F12" s="1" t="s">
        <v>146</v>
      </c>
      <c r="G12" s="1">
        <v>3.0739999999999998</v>
      </c>
      <c r="H12" s="1">
        <v>40</v>
      </c>
      <c r="I12" s="22" t="s">
        <v>227</v>
      </c>
      <c r="J12" s="22" t="s">
        <v>227</v>
      </c>
      <c r="K12" s="22" t="s">
        <v>481</v>
      </c>
      <c r="L12" s="22"/>
      <c r="M12" s="22" t="s">
        <v>551</v>
      </c>
      <c r="N12" s="22" t="s">
        <v>569</v>
      </c>
      <c r="O12" s="22" t="s">
        <v>501</v>
      </c>
      <c r="P12" s="22" t="s">
        <v>501</v>
      </c>
      <c r="Q12" s="22" t="s">
        <v>598</v>
      </c>
      <c r="R12" s="1" t="s">
        <v>147</v>
      </c>
      <c r="S12" s="1" t="s">
        <v>148</v>
      </c>
      <c r="T12" s="1" t="s">
        <v>21</v>
      </c>
      <c r="U12" s="3"/>
      <c r="V12" s="3"/>
      <c r="W12" s="3"/>
      <c r="X12" s="3"/>
    </row>
    <row r="13" spans="1:24" ht="60" customHeight="1" x14ac:dyDescent="0.25">
      <c r="A13" s="2">
        <v>12</v>
      </c>
      <c r="B13" s="22" t="s">
        <v>7</v>
      </c>
      <c r="C13" s="1">
        <v>2009</v>
      </c>
      <c r="D13" s="1" t="s">
        <v>15</v>
      </c>
      <c r="E13" s="1" t="s">
        <v>33</v>
      </c>
      <c r="F13" s="1" t="s">
        <v>162</v>
      </c>
      <c r="G13" s="1">
        <v>1.0189999999999999</v>
      </c>
      <c r="H13" s="1">
        <v>51</v>
      </c>
      <c r="I13" s="22" t="s">
        <v>227</v>
      </c>
      <c r="J13" s="22" t="s">
        <v>227</v>
      </c>
      <c r="K13" s="22" t="s">
        <v>481</v>
      </c>
      <c r="L13" s="22"/>
      <c r="M13" s="22" t="s">
        <v>551</v>
      </c>
      <c r="N13" s="22" t="s">
        <v>579</v>
      </c>
      <c r="P13" s="22" t="s">
        <v>590</v>
      </c>
      <c r="Q13" s="22" t="s">
        <v>599</v>
      </c>
      <c r="R13" s="1" t="s">
        <v>110</v>
      </c>
      <c r="S13" s="1" t="s">
        <v>163</v>
      </c>
      <c r="T13" s="1" t="s">
        <v>34</v>
      </c>
      <c r="U13" s="3"/>
      <c r="V13" s="3"/>
      <c r="W13" s="3"/>
      <c r="X13" s="3"/>
    </row>
    <row r="14" spans="1:24" ht="60" customHeight="1" x14ac:dyDescent="0.25">
      <c r="A14" s="2">
        <v>13</v>
      </c>
      <c r="B14" s="22" t="s">
        <v>7</v>
      </c>
      <c r="C14" s="1">
        <v>2011</v>
      </c>
      <c r="D14" s="1" t="s">
        <v>15</v>
      </c>
      <c r="E14" s="1" t="s">
        <v>129</v>
      </c>
      <c r="F14" s="1" t="s">
        <v>149</v>
      </c>
      <c r="G14" s="1">
        <v>0.2</v>
      </c>
      <c r="H14" s="1">
        <v>6</v>
      </c>
      <c r="I14" s="22" t="s">
        <v>227</v>
      </c>
      <c r="J14" s="22" t="s">
        <v>227</v>
      </c>
      <c r="K14" s="22" t="s">
        <v>507</v>
      </c>
      <c r="L14" s="22" t="s">
        <v>563</v>
      </c>
      <c r="M14" s="22" t="s">
        <v>551</v>
      </c>
      <c r="N14" s="22" t="s">
        <v>579</v>
      </c>
      <c r="P14" s="22" t="s">
        <v>592</v>
      </c>
      <c r="Q14" s="22" t="s">
        <v>600</v>
      </c>
      <c r="R14" s="1" t="s">
        <v>192</v>
      </c>
      <c r="S14" s="1" t="s">
        <v>193</v>
      </c>
      <c r="T14" s="1" t="s">
        <v>71</v>
      </c>
      <c r="U14" s="3"/>
      <c r="V14" s="3"/>
      <c r="W14" s="3"/>
      <c r="X14" s="3"/>
    </row>
    <row r="15" spans="1:24" ht="60" customHeight="1" x14ac:dyDescent="0.25">
      <c r="A15" s="2">
        <v>14</v>
      </c>
      <c r="B15" s="22" t="s">
        <v>7</v>
      </c>
      <c r="C15" s="1">
        <v>2013</v>
      </c>
      <c r="D15" s="1" t="s">
        <v>15</v>
      </c>
      <c r="E15" s="1" t="s">
        <v>164</v>
      </c>
      <c r="F15" s="1" t="s">
        <v>222</v>
      </c>
      <c r="G15" s="1">
        <v>0.35199999999999998</v>
      </c>
      <c r="H15" s="1">
        <v>4</v>
      </c>
      <c r="I15" s="22" t="s">
        <v>227</v>
      </c>
      <c r="J15" s="22" t="s">
        <v>227</v>
      </c>
      <c r="K15" s="22" t="s">
        <v>481</v>
      </c>
      <c r="L15" s="22"/>
      <c r="M15" s="22" t="s">
        <v>551</v>
      </c>
      <c r="N15" s="22" t="s">
        <v>579</v>
      </c>
      <c r="P15" s="22" t="s">
        <v>592</v>
      </c>
      <c r="Q15" s="22" t="s">
        <v>600</v>
      </c>
      <c r="R15" s="1" t="s">
        <v>165</v>
      </c>
      <c r="S15" s="1" t="s">
        <v>166</v>
      </c>
      <c r="T15" s="1" t="s">
        <v>35</v>
      </c>
      <c r="U15" s="3"/>
      <c r="V15" s="3"/>
      <c r="W15" s="3"/>
      <c r="X15" s="3"/>
    </row>
    <row r="16" spans="1:24" ht="60" customHeight="1" x14ac:dyDescent="0.25">
      <c r="A16" s="2">
        <v>15</v>
      </c>
      <c r="B16" s="22" t="s">
        <v>7</v>
      </c>
      <c r="C16" s="1">
        <v>2014</v>
      </c>
      <c r="D16" s="1" t="s">
        <v>15</v>
      </c>
      <c r="E16" s="1" t="s">
        <v>16</v>
      </c>
      <c r="F16" s="1" t="s">
        <v>222</v>
      </c>
      <c r="G16" s="1">
        <v>0.35199999999999998</v>
      </c>
      <c r="H16" s="1">
        <v>3</v>
      </c>
      <c r="I16" s="22" t="s">
        <v>227</v>
      </c>
      <c r="J16" s="22" t="s">
        <v>227</v>
      </c>
      <c r="K16" s="22" t="s">
        <v>481</v>
      </c>
      <c r="L16" s="22" t="s">
        <v>563</v>
      </c>
      <c r="M16" s="22" t="s">
        <v>551</v>
      </c>
      <c r="N16" s="22" t="s">
        <v>579</v>
      </c>
      <c r="P16" s="22" t="s">
        <v>590</v>
      </c>
      <c r="Q16" s="22" t="s">
        <v>598</v>
      </c>
      <c r="R16" s="1" t="s">
        <v>142</v>
      </c>
      <c r="S16" s="1" t="s">
        <v>143</v>
      </c>
      <c r="T16" s="1" t="s">
        <v>17</v>
      </c>
      <c r="U16" s="3"/>
      <c r="V16" s="3"/>
      <c r="W16" s="3"/>
      <c r="X16" s="3"/>
    </row>
    <row r="17" spans="1:24" ht="60" customHeight="1" x14ac:dyDescent="0.25">
      <c r="A17" s="2">
        <v>16</v>
      </c>
      <c r="B17" s="22" t="s">
        <v>7</v>
      </c>
      <c r="C17" s="1">
        <v>2023</v>
      </c>
      <c r="D17" s="1" t="s">
        <v>250</v>
      </c>
      <c r="E17" s="1" t="s">
        <v>18</v>
      </c>
      <c r="F17" s="1" t="s">
        <v>144</v>
      </c>
      <c r="G17" s="1">
        <v>1.0269999999999999</v>
      </c>
      <c r="H17" s="1">
        <v>4</v>
      </c>
      <c r="I17" s="22" t="s">
        <v>227</v>
      </c>
      <c r="J17" s="22" t="s">
        <v>227</v>
      </c>
      <c r="K17" s="22" t="s">
        <v>481</v>
      </c>
      <c r="L17" s="22" t="s">
        <v>563</v>
      </c>
      <c r="M17" s="22" t="s">
        <v>324</v>
      </c>
      <c r="N17" s="22" t="s">
        <v>579</v>
      </c>
      <c r="P17" s="22" t="s">
        <v>590</v>
      </c>
      <c r="Q17" s="22" t="s">
        <v>600</v>
      </c>
      <c r="R17" s="1" t="s">
        <v>116</v>
      </c>
      <c r="S17" s="1" t="s">
        <v>145</v>
      </c>
      <c r="T17" s="1" t="s">
        <v>19</v>
      </c>
      <c r="U17" s="3"/>
      <c r="V17" s="3"/>
      <c r="W17" s="3"/>
      <c r="X17" s="3"/>
    </row>
    <row r="18" spans="1:24" ht="60" customHeight="1" x14ac:dyDescent="0.25">
      <c r="A18" s="2">
        <v>17</v>
      </c>
      <c r="B18" s="22" t="s">
        <v>7</v>
      </c>
      <c r="C18" s="1">
        <v>2024</v>
      </c>
      <c r="D18" s="1" t="s">
        <v>52</v>
      </c>
      <c r="E18" s="1" t="s">
        <v>53</v>
      </c>
      <c r="F18" s="1" t="s">
        <v>180</v>
      </c>
      <c r="G18" s="1">
        <v>0.45100000000000001</v>
      </c>
      <c r="H18" s="1">
        <v>0</v>
      </c>
      <c r="I18" s="22" t="s">
        <v>230</v>
      </c>
      <c r="J18" s="22" t="s">
        <v>230</v>
      </c>
      <c r="K18" s="22" t="s">
        <v>481</v>
      </c>
      <c r="L18" s="22" t="s">
        <v>561</v>
      </c>
      <c r="M18" s="22" t="s">
        <v>551</v>
      </c>
      <c r="N18" s="22" t="s">
        <v>581</v>
      </c>
      <c r="O18" s="22" t="s">
        <v>501</v>
      </c>
      <c r="P18" s="22" t="s">
        <v>501</v>
      </c>
      <c r="Q18" s="22" t="s">
        <v>598</v>
      </c>
      <c r="R18" s="1" t="s">
        <v>114</v>
      </c>
      <c r="S18" s="1" t="s">
        <v>181</v>
      </c>
      <c r="T18" s="1" t="s">
        <v>54</v>
      </c>
      <c r="U18" s="3"/>
      <c r="V18" s="3"/>
      <c r="W18" s="3"/>
      <c r="X18" s="3"/>
    </row>
    <row r="19" spans="1:24" ht="60" customHeight="1" x14ac:dyDescent="0.25">
      <c r="A19" s="2">
        <v>18</v>
      </c>
      <c r="B19" s="22" t="s">
        <v>7</v>
      </c>
      <c r="C19" s="1">
        <v>2015</v>
      </c>
      <c r="D19" s="1" t="s">
        <v>57</v>
      </c>
      <c r="E19" s="1" t="s">
        <v>58</v>
      </c>
      <c r="F19" s="1" t="s">
        <v>184</v>
      </c>
      <c r="G19" s="1">
        <v>2.0579999999999998</v>
      </c>
      <c r="H19" s="1">
        <v>26</v>
      </c>
      <c r="I19" s="22" t="s">
        <v>231</v>
      </c>
      <c r="J19" s="22" t="s">
        <v>231</v>
      </c>
      <c r="K19" s="22" t="s">
        <v>481</v>
      </c>
      <c r="L19" s="22"/>
      <c r="M19" s="22" t="s">
        <v>555</v>
      </c>
      <c r="N19" s="22" t="s">
        <v>582</v>
      </c>
      <c r="O19" s="22" t="s">
        <v>574</v>
      </c>
      <c r="P19" s="22" t="s">
        <v>590</v>
      </c>
      <c r="Q19" s="22" t="s">
        <v>598</v>
      </c>
      <c r="R19" s="1" t="s">
        <v>117</v>
      </c>
      <c r="S19" s="1" t="s">
        <v>185</v>
      </c>
      <c r="T19" s="1" t="s">
        <v>60</v>
      </c>
      <c r="U19" s="3"/>
      <c r="V19" s="3"/>
      <c r="W19" s="3"/>
      <c r="X19" s="3"/>
    </row>
    <row r="20" spans="1:24" ht="60" customHeight="1" x14ac:dyDescent="0.25">
      <c r="A20" s="2">
        <v>19</v>
      </c>
      <c r="B20" s="22" t="s">
        <v>7</v>
      </c>
      <c r="C20" s="1">
        <v>2020</v>
      </c>
      <c r="D20" s="1" t="s">
        <v>96</v>
      </c>
      <c r="E20" s="1" t="s">
        <v>97</v>
      </c>
      <c r="F20" s="1" t="s">
        <v>211</v>
      </c>
      <c r="G20" s="1">
        <v>0.52500000000000002</v>
      </c>
      <c r="H20" s="1">
        <v>1</v>
      </c>
      <c r="I20" s="22" t="s">
        <v>229</v>
      </c>
      <c r="J20" s="22" t="s">
        <v>229</v>
      </c>
      <c r="K20" s="22" t="s">
        <v>481</v>
      </c>
      <c r="L20" s="22" t="s">
        <v>466</v>
      </c>
      <c r="M20" s="22" t="s">
        <v>550</v>
      </c>
      <c r="N20" s="22" t="s">
        <v>583</v>
      </c>
      <c r="P20" s="22" t="s">
        <v>590</v>
      </c>
      <c r="Q20" s="22" t="s">
        <v>599</v>
      </c>
      <c r="R20" s="1" t="s">
        <v>212</v>
      </c>
      <c r="S20" s="1" t="s">
        <v>213</v>
      </c>
      <c r="T20" s="1" t="s">
        <v>98</v>
      </c>
      <c r="U20" s="3"/>
      <c r="V20" s="3"/>
      <c r="W20" s="3"/>
      <c r="X20" s="3"/>
    </row>
    <row r="21" spans="1:24" ht="60" customHeight="1" x14ac:dyDescent="0.25">
      <c r="A21" s="2">
        <v>20</v>
      </c>
      <c r="B21" s="22" t="s">
        <v>7</v>
      </c>
      <c r="C21" s="1">
        <v>2022</v>
      </c>
      <c r="D21" s="1" t="s">
        <v>72</v>
      </c>
      <c r="E21" s="1" t="s">
        <v>73</v>
      </c>
      <c r="F21" s="1" t="s">
        <v>194</v>
      </c>
      <c r="G21" s="1">
        <v>2.11</v>
      </c>
      <c r="H21" s="1">
        <v>12</v>
      </c>
      <c r="I21" s="22" t="s">
        <v>229</v>
      </c>
      <c r="J21" s="22" t="s">
        <v>229</v>
      </c>
      <c r="K21" s="22" t="s">
        <v>507</v>
      </c>
      <c r="L21" s="22"/>
      <c r="M21" s="22" t="s">
        <v>553</v>
      </c>
      <c r="N21" s="22" t="s">
        <v>569</v>
      </c>
      <c r="O21" s="22" t="s">
        <v>576</v>
      </c>
      <c r="P21" s="22" t="s">
        <v>591</v>
      </c>
      <c r="Q21" s="22" t="s">
        <v>599</v>
      </c>
      <c r="R21" s="1" t="s">
        <v>195</v>
      </c>
      <c r="S21" s="1" t="s">
        <v>196</v>
      </c>
      <c r="T21" s="1" t="s">
        <v>74</v>
      </c>
      <c r="U21" s="3"/>
      <c r="V21" s="3"/>
      <c r="W21" s="3"/>
      <c r="X21" s="3"/>
    </row>
    <row r="22" spans="1:24" ht="60" customHeight="1" x14ac:dyDescent="0.25">
      <c r="A22" s="2">
        <v>21</v>
      </c>
      <c r="B22" s="22" t="s">
        <v>7</v>
      </c>
      <c r="C22" s="1">
        <v>2021</v>
      </c>
      <c r="D22" s="1" t="s">
        <v>41</v>
      </c>
      <c r="E22" s="1" t="s">
        <v>42</v>
      </c>
      <c r="F22" s="1" t="s">
        <v>171</v>
      </c>
      <c r="G22" s="1">
        <v>1.7350000000000001</v>
      </c>
      <c r="H22" s="1">
        <v>14</v>
      </c>
      <c r="I22" s="22" t="s">
        <v>227</v>
      </c>
      <c r="J22" s="22" t="s">
        <v>227</v>
      </c>
      <c r="K22" s="22" t="s">
        <v>481</v>
      </c>
      <c r="L22" s="22"/>
      <c r="M22" s="22" t="s">
        <v>554</v>
      </c>
      <c r="N22" s="22" t="s">
        <v>581</v>
      </c>
      <c r="O22" s="22" t="s">
        <v>501</v>
      </c>
      <c r="P22" s="22" t="s">
        <v>501</v>
      </c>
      <c r="Q22" s="22" t="s">
        <v>598</v>
      </c>
      <c r="R22" s="1" t="s">
        <v>113</v>
      </c>
      <c r="S22" s="1" t="s">
        <v>172</v>
      </c>
      <c r="T22" s="1" t="s">
        <v>43</v>
      </c>
      <c r="U22" s="3"/>
      <c r="V22" s="3"/>
      <c r="W22" s="3"/>
      <c r="X22" s="3"/>
    </row>
    <row r="23" spans="1:24" ht="60" customHeight="1" x14ac:dyDescent="0.25">
      <c r="A23" s="2">
        <v>22</v>
      </c>
      <c r="B23" s="22" t="s">
        <v>7</v>
      </c>
      <c r="C23" s="1">
        <v>2019</v>
      </c>
      <c r="D23" s="1" t="s">
        <v>12</v>
      </c>
      <c r="E23" s="1" t="s">
        <v>13</v>
      </c>
      <c r="F23" s="1" t="s">
        <v>140</v>
      </c>
      <c r="G23" s="1">
        <v>1.107</v>
      </c>
      <c r="H23" s="1">
        <v>20</v>
      </c>
      <c r="I23" s="22" t="s">
        <v>230</v>
      </c>
      <c r="J23" s="22" t="s">
        <v>230</v>
      </c>
      <c r="K23" s="22" t="s">
        <v>481</v>
      </c>
      <c r="L23" s="22" t="s">
        <v>466</v>
      </c>
      <c r="M23" s="22" t="s">
        <v>551</v>
      </c>
      <c r="N23" s="22" t="s">
        <v>582</v>
      </c>
      <c r="O23" s="22" t="s">
        <v>575</v>
      </c>
      <c r="P23" s="22" t="s">
        <v>595</v>
      </c>
      <c r="Q23" s="22" t="s">
        <v>600</v>
      </c>
      <c r="R23" s="1" t="s">
        <v>122</v>
      </c>
      <c r="S23" s="1" t="s">
        <v>141</v>
      </c>
      <c r="T23" s="1" t="s">
        <v>14</v>
      </c>
      <c r="U23" s="3"/>
      <c r="V23" s="3"/>
      <c r="W23" s="3"/>
      <c r="X23" s="3"/>
    </row>
    <row r="24" spans="1:24" ht="60" customHeight="1" x14ac:dyDescent="0.25">
      <c r="A24" s="2">
        <v>23</v>
      </c>
      <c r="B24" s="22" t="s">
        <v>7</v>
      </c>
      <c r="C24" s="1">
        <v>2012</v>
      </c>
      <c r="D24" s="1" t="s">
        <v>64</v>
      </c>
      <c r="E24" s="1" t="s">
        <v>65</v>
      </c>
      <c r="F24" s="1" t="s">
        <v>188</v>
      </c>
      <c r="G24" s="1">
        <v>0.73399999999999999</v>
      </c>
      <c r="H24" s="1">
        <v>602</v>
      </c>
      <c r="I24" s="22" t="s">
        <v>231</v>
      </c>
      <c r="J24" s="22" t="s">
        <v>231</v>
      </c>
      <c r="K24" s="22" t="s">
        <v>481</v>
      </c>
      <c r="L24" s="22" t="s">
        <v>466</v>
      </c>
      <c r="M24" s="22" t="s">
        <v>551</v>
      </c>
      <c r="N24" s="22" t="s">
        <v>587</v>
      </c>
      <c r="O24" s="22" t="s">
        <v>577</v>
      </c>
      <c r="P24" s="22" t="s">
        <v>596</v>
      </c>
      <c r="Q24" s="22" t="s">
        <v>598</v>
      </c>
      <c r="R24" s="1" t="s">
        <v>124</v>
      </c>
      <c r="S24" s="1" t="s">
        <v>189</v>
      </c>
      <c r="T24" s="1" t="s">
        <v>66</v>
      </c>
      <c r="U24" s="3"/>
      <c r="V24" s="3"/>
      <c r="W24" s="3"/>
      <c r="X24" s="3"/>
    </row>
    <row r="25" spans="1:24" ht="60" customHeight="1" x14ac:dyDescent="0.25">
      <c r="A25" s="3"/>
      <c r="B25" s="22" t="s">
        <v>130</v>
      </c>
      <c r="C25" s="1">
        <v>2017</v>
      </c>
      <c r="D25" s="1" t="s">
        <v>104</v>
      </c>
      <c r="E25" s="1" t="s">
        <v>105</v>
      </c>
      <c r="F25" s="1" t="s">
        <v>218</v>
      </c>
      <c r="G25" s="1"/>
      <c r="H25" s="1">
        <v>7</v>
      </c>
      <c r="I25" s="22"/>
      <c r="L25" s="22"/>
      <c r="R25" s="1" t="s">
        <v>118</v>
      </c>
      <c r="S25" s="1" t="s">
        <v>219</v>
      </c>
      <c r="T25" s="1" t="s">
        <v>106</v>
      </c>
      <c r="U25" s="3"/>
      <c r="V25" s="3"/>
      <c r="W25" s="3"/>
      <c r="X25" s="3"/>
    </row>
    <row r="26" spans="1:24" ht="60" customHeight="1" x14ac:dyDescent="0.25">
      <c r="A26" s="3"/>
      <c r="B26" s="22" t="s">
        <v>130</v>
      </c>
      <c r="C26" s="1">
        <v>2015</v>
      </c>
      <c r="D26" s="1" t="s">
        <v>9</v>
      </c>
      <c r="E26" s="1" t="s">
        <v>10</v>
      </c>
      <c r="F26" s="1" t="s">
        <v>137</v>
      </c>
      <c r="G26" s="1"/>
      <c r="H26" s="1">
        <v>3</v>
      </c>
      <c r="I26" s="22"/>
      <c r="L26" s="22"/>
      <c r="R26" s="1" t="s">
        <v>138</v>
      </c>
      <c r="S26" s="1" t="s">
        <v>139</v>
      </c>
      <c r="T26" s="1" t="s">
        <v>11</v>
      </c>
      <c r="U26" s="3"/>
      <c r="V26" s="3"/>
      <c r="W26" s="3"/>
      <c r="X26" s="3"/>
    </row>
    <row r="27" spans="1:24" ht="60" customHeight="1" x14ac:dyDescent="0.25">
      <c r="A27" s="3"/>
      <c r="B27" s="22" t="s">
        <v>59</v>
      </c>
      <c r="C27" s="1">
        <v>2020</v>
      </c>
      <c r="D27" s="1" t="s">
        <v>87</v>
      </c>
      <c r="E27" s="1" t="s">
        <v>88</v>
      </c>
      <c r="F27" s="1" t="s">
        <v>204</v>
      </c>
      <c r="G27" s="1"/>
      <c r="H27" s="1">
        <v>0</v>
      </c>
      <c r="I27" s="22"/>
      <c r="L27" s="22"/>
      <c r="R27" s="1" t="s">
        <v>205</v>
      </c>
      <c r="S27" s="1" t="s">
        <v>206</v>
      </c>
      <c r="T27" s="1" t="s">
        <v>89</v>
      </c>
      <c r="U27" s="3"/>
      <c r="V27" s="3"/>
      <c r="W27" s="3"/>
      <c r="X27" s="3"/>
    </row>
    <row r="28" spans="1:24" ht="60" customHeight="1" x14ac:dyDescent="0.25">
      <c r="A28" s="3"/>
      <c r="B28" s="22" t="s">
        <v>130</v>
      </c>
      <c r="C28" s="1">
        <v>2019</v>
      </c>
      <c r="D28" s="1" t="s">
        <v>46</v>
      </c>
      <c r="E28" s="1" t="s">
        <v>47</v>
      </c>
      <c r="F28" s="1" t="s">
        <v>175</v>
      </c>
      <c r="G28" s="1"/>
      <c r="H28" s="1">
        <v>8</v>
      </c>
      <c r="I28" s="22"/>
      <c r="L28" s="22"/>
      <c r="R28" s="1" t="s">
        <v>176</v>
      </c>
      <c r="S28" s="1" t="s">
        <v>177</v>
      </c>
      <c r="T28" s="1" t="s">
        <v>48</v>
      </c>
      <c r="U28" s="3"/>
      <c r="V28" s="3"/>
      <c r="W28" s="3"/>
      <c r="X28" s="3"/>
    </row>
    <row r="29" spans="1:24" ht="60" customHeight="1" x14ac:dyDescent="0.25">
      <c r="A29" s="3"/>
      <c r="B29" s="22" t="s">
        <v>59</v>
      </c>
      <c r="C29" s="1">
        <v>2016</v>
      </c>
      <c r="D29" s="1" t="s">
        <v>78</v>
      </c>
      <c r="E29" s="1" t="s">
        <v>79</v>
      </c>
      <c r="F29" s="1" t="s">
        <v>198</v>
      </c>
      <c r="G29" s="1"/>
      <c r="H29" s="1">
        <v>4</v>
      </c>
      <c r="I29" s="22"/>
      <c r="L29" s="22"/>
      <c r="R29" s="1" t="s">
        <v>199</v>
      </c>
      <c r="S29" s="1" t="s">
        <v>200</v>
      </c>
      <c r="T29" s="1" t="s">
        <v>80</v>
      </c>
      <c r="U29" s="3"/>
      <c r="V29" s="3"/>
      <c r="W29" s="3"/>
      <c r="X29" s="3"/>
    </row>
    <row r="30" spans="1:24" ht="60" customHeight="1" x14ac:dyDescent="0.25">
      <c r="A30" s="3"/>
      <c r="B30" s="22" t="s">
        <v>59</v>
      </c>
      <c r="C30" s="1">
        <v>2013</v>
      </c>
      <c r="D30" s="1" t="s">
        <v>30</v>
      </c>
      <c r="E30" s="1" t="s">
        <v>31</v>
      </c>
      <c r="F30" s="1" t="s">
        <v>157</v>
      </c>
      <c r="G30" s="1"/>
      <c r="H30" s="1">
        <v>2</v>
      </c>
      <c r="I30" s="22"/>
      <c r="L30" s="22"/>
      <c r="R30" s="1" t="s">
        <v>125</v>
      </c>
      <c r="S30" s="1" t="s">
        <v>158</v>
      </c>
      <c r="T30" s="1">
        <v>0</v>
      </c>
      <c r="U30" s="3"/>
      <c r="V30" s="3"/>
      <c r="W30" s="3"/>
      <c r="X30" s="3"/>
    </row>
    <row r="31" spans="1:24" ht="60" customHeight="1" x14ac:dyDescent="0.25">
      <c r="A31" s="3"/>
      <c r="B31" s="22" t="s">
        <v>130</v>
      </c>
      <c r="C31" s="1">
        <v>2024</v>
      </c>
      <c r="D31" s="1" t="s">
        <v>75</v>
      </c>
      <c r="E31" s="1" t="s">
        <v>76</v>
      </c>
      <c r="F31" s="1" t="s">
        <v>173</v>
      </c>
      <c r="G31" s="1"/>
      <c r="H31" s="1">
        <v>0</v>
      </c>
      <c r="I31" s="22"/>
      <c r="L31" s="22"/>
      <c r="R31" s="1" t="s">
        <v>119</v>
      </c>
      <c r="S31" s="1" t="s">
        <v>197</v>
      </c>
      <c r="T31" s="1" t="s">
        <v>77</v>
      </c>
      <c r="U31" s="3"/>
      <c r="V31" s="3"/>
      <c r="W31" s="3"/>
      <c r="X31" s="3"/>
    </row>
    <row r="32" spans="1:24" ht="60" customHeight="1" x14ac:dyDescent="0.25">
      <c r="A32" s="3"/>
      <c r="B32" s="22" t="s">
        <v>59</v>
      </c>
      <c r="C32" s="1">
        <v>2021</v>
      </c>
      <c r="D32" s="1" t="s">
        <v>101</v>
      </c>
      <c r="E32" s="1" t="s">
        <v>102</v>
      </c>
      <c r="F32" s="1" t="s">
        <v>216</v>
      </c>
      <c r="G32" s="1"/>
      <c r="H32" s="1">
        <v>0</v>
      </c>
      <c r="I32" s="22"/>
      <c r="L32" s="22"/>
      <c r="R32" s="1"/>
      <c r="S32" s="1" t="s">
        <v>217</v>
      </c>
      <c r="T32" s="1" t="s">
        <v>103</v>
      </c>
      <c r="U32" s="3"/>
      <c r="V32" s="3"/>
      <c r="W32" s="3"/>
      <c r="X32" s="3"/>
    </row>
    <row r="33" spans="1:24" ht="60" customHeight="1" x14ac:dyDescent="0.25">
      <c r="A33" s="3"/>
      <c r="B33" s="22" t="s">
        <v>59</v>
      </c>
      <c r="C33" s="1">
        <v>2020</v>
      </c>
      <c r="D33" s="1" t="s">
        <v>49</v>
      </c>
      <c r="E33" s="1" t="s">
        <v>50</v>
      </c>
      <c r="F33" s="1" t="s">
        <v>178</v>
      </c>
      <c r="G33" s="1"/>
      <c r="H33" s="1">
        <v>0</v>
      </c>
      <c r="I33" s="22"/>
      <c r="L33" s="22"/>
      <c r="R33" s="1" t="s">
        <v>127</v>
      </c>
      <c r="S33" s="1" t="s">
        <v>179</v>
      </c>
      <c r="T33" s="1" t="s">
        <v>51</v>
      </c>
      <c r="U33" s="3"/>
      <c r="V33" s="3"/>
      <c r="W33" s="3"/>
      <c r="X33" s="3"/>
    </row>
    <row r="34" spans="1:24" ht="60" customHeight="1" x14ac:dyDescent="0.25">
      <c r="A34" s="3"/>
      <c r="B34" s="22" t="s">
        <v>59</v>
      </c>
      <c r="C34" s="1">
        <v>2018</v>
      </c>
      <c r="D34" s="1" t="s">
        <v>38</v>
      </c>
      <c r="E34" s="1" t="s">
        <v>39</v>
      </c>
      <c r="F34" s="1" t="s">
        <v>169</v>
      </c>
      <c r="G34" s="1"/>
      <c r="H34" s="1">
        <v>7</v>
      </c>
      <c r="I34" s="22"/>
      <c r="L34" s="22"/>
      <c r="R34" s="1"/>
      <c r="S34" s="1" t="s">
        <v>170</v>
      </c>
      <c r="T34" s="1" t="s">
        <v>40</v>
      </c>
      <c r="U34" s="3"/>
      <c r="V34" s="3"/>
      <c r="W34" s="3"/>
      <c r="X34" s="3"/>
    </row>
    <row r="35" spans="1:24" ht="60" customHeight="1" x14ac:dyDescent="0.25">
      <c r="A35" s="3"/>
      <c r="B35" s="22" t="s">
        <v>59</v>
      </c>
      <c r="C35" s="1">
        <v>2010</v>
      </c>
      <c r="D35" s="1" t="s">
        <v>36</v>
      </c>
      <c r="E35" s="1" t="s">
        <v>37</v>
      </c>
      <c r="F35" s="1" t="s">
        <v>167</v>
      </c>
      <c r="G35" s="1"/>
      <c r="H35" s="1">
        <v>0</v>
      </c>
      <c r="I35" s="22"/>
      <c r="L35" s="22"/>
      <c r="R35" s="1"/>
      <c r="S35" s="1" t="s">
        <v>168</v>
      </c>
      <c r="T35" s="1">
        <v>0</v>
      </c>
      <c r="U35" s="3"/>
      <c r="V35" s="3"/>
      <c r="W35" s="3"/>
      <c r="X35" s="3"/>
    </row>
    <row r="36" spans="1:24" ht="60" customHeight="1" x14ac:dyDescent="0.25">
      <c r="A36" s="3"/>
      <c r="B36" s="22" t="s">
        <v>130</v>
      </c>
      <c r="C36" s="1">
        <v>2016</v>
      </c>
      <c r="D36" s="1" t="s">
        <v>93</v>
      </c>
      <c r="E36" s="1" t="s">
        <v>94</v>
      </c>
      <c r="F36" s="1" t="s">
        <v>136</v>
      </c>
      <c r="G36" s="1"/>
      <c r="H36" s="1">
        <v>0</v>
      </c>
      <c r="I36" s="22"/>
      <c r="L36" s="22"/>
      <c r="R36" s="1"/>
      <c r="S36" s="1" t="s">
        <v>210</v>
      </c>
      <c r="T36" s="1" t="s">
        <v>95</v>
      </c>
      <c r="U36" s="3"/>
      <c r="V36" s="3"/>
      <c r="W36" s="3"/>
      <c r="X36" s="3"/>
    </row>
    <row r="37" spans="1:24" ht="60" customHeight="1" x14ac:dyDescent="0.25">
      <c r="A37" s="3"/>
      <c r="B37" s="22" t="s">
        <v>59</v>
      </c>
      <c r="C37" s="1">
        <v>2006</v>
      </c>
      <c r="D37" s="1" t="s">
        <v>27</v>
      </c>
      <c r="E37" s="1" t="s">
        <v>28</v>
      </c>
      <c r="F37" s="1" t="s">
        <v>144</v>
      </c>
      <c r="G37" s="1"/>
      <c r="H37" s="1">
        <v>5</v>
      </c>
      <c r="I37" s="22"/>
      <c r="L37" s="22"/>
      <c r="R37" s="1" t="s">
        <v>155</v>
      </c>
      <c r="S37" s="1" t="s">
        <v>156</v>
      </c>
      <c r="T37" s="1" t="s">
        <v>29</v>
      </c>
      <c r="U37" s="3"/>
      <c r="V37" s="3"/>
      <c r="W37" s="3"/>
      <c r="X37" s="3"/>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A8387-0A28-4D35-8EC4-54C7C6DF0340}">
  <dimension ref="A1:R28"/>
  <sheetViews>
    <sheetView workbookViewId="0"/>
  </sheetViews>
  <sheetFormatPr defaultRowHeight="15" x14ac:dyDescent="0.25"/>
  <cols>
    <col min="1" max="1" width="75.7109375" style="3" customWidth="1"/>
    <col min="2" max="2" width="15.28515625" style="2" customWidth="1"/>
  </cols>
  <sheetData>
    <row r="1" spans="1:2" ht="45" customHeight="1" x14ac:dyDescent="0.25">
      <c r="A1" s="4" t="s">
        <v>2</v>
      </c>
      <c r="B1" s="5" t="s">
        <v>608</v>
      </c>
    </row>
    <row r="2" spans="1:2" ht="45" customHeight="1" x14ac:dyDescent="0.25">
      <c r="A2" s="1" t="s">
        <v>68</v>
      </c>
      <c r="B2" s="2" t="s">
        <v>128</v>
      </c>
    </row>
    <row r="3" spans="1:2" ht="45" customHeight="1" x14ac:dyDescent="0.25">
      <c r="A3" s="1" t="s">
        <v>6</v>
      </c>
      <c r="B3" s="2" t="s">
        <v>128</v>
      </c>
    </row>
    <row r="4" spans="1:2" ht="45" customHeight="1" x14ac:dyDescent="0.25">
      <c r="A4" s="1" t="s">
        <v>18</v>
      </c>
      <c r="B4" s="2" t="s">
        <v>128</v>
      </c>
    </row>
    <row r="5" spans="1:2" ht="45" customHeight="1" x14ac:dyDescent="0.25">
      <c r="A5" s="1" t="s">
        <v>31</v>
      </c>
      <c r="B5" s="2" t="s">
        <v>128</v>
      </c>
    </row>
    <row r="6" spans="1:2" ht="45" customHeight="1" x14ac:dyDescent="0.25">
      <c r="A6" s="1" t="s">
        <v>33</v>
      </c>
      <c r="B6" s="2" t="s">
        <v>128</v>
      </c>
    </row>
    <row r="7" spans="1:2" ht="45" customHeight="1" x14ac:dyDescent="0.25">
      <c r="A7" s="1" t="s">
        <v>97</v>
      </c>
      <c r="B7" s="2" t="s">
        <v>128</v>
      </c>
    </row>
    <row r="8" spans="1:2" ht="45" customHeight="1" x14ac:dyDescent="0.25">
      <c r="A8" s="1" t="s">
        <v>13</v>
      </c>
      <c r="B8" s="2" t="s">
        <v>128</v>
      </c>
    </row>
    <row r="9" spans="1:2" ht="45" customHeight="1" x14ac:dyDescent="0.25">
      <c r="A9" s="1" t="s">
        <v>45</v>
      </c>
      <c r="B9" s="2" t="s">
        <v>128</v>
      </c>
    </row>
    <row r="10" spans="1:2" ht="45" customHeight="1" x14ac:dyDescent="0.25">
      <c r="A10" s="1" t="s">
        <v>62</v>
      </c>
      <c r="B10" s="2" t="s">
        <v>128</v>
      </c>
    </row>
    <row r="11" spans="1:2" ht="45" customHeight="1" x14ac:dyDescent="0.25">
      <c r="A11" s="1" t="s">
        <v>42</v>
      </c>
      <c r="B11" s="2" t="s">
        <v>128</v>
      </c>
    </row>
    <row r="12" spans="1:2" ht="45" customHeight="1" x14ac:dyDescent="0.25">
      <c r="A12" s="1" t="s">
        <v>99</v>
      </c>
      <c r="B12" s="2" t="s">
        <v>128</v>
      </c>
    </row>
    <row r="13" spans="1:2" ht="45" customHeight="1" x14ac:dyDescent="0.25">
      <c r="A13" s="1" t="s">
        <v>76</v>
      </c>
      <c r="B13" s="2" t="s">
        <v>128</v>
      </c>
    </row>
    <row r="14" spans="1:2" ht="45" customHeight="1" x14ac:dyDescent="0.25">
      <c r="A14" s="1" t="s">
        <v>58</v>
      </c>
      <c r="B14" s="2" t="s">
        <v>128</v>
      </c>
    </row>
    <row r="15" spans="1:2" ht="45" customHeight="1" x14ac:dyDescent="0.25">
      <c r="A15" s="1" t="s">
        <v>65</v>
      </c>
      <c r="B15" s="2" t="s">
        <v>128</v>
      </c>
    </row>
    <row r="16" spans="1:2" ht="45" customHeight="1" x14ac:dyDescent="0.25">
      <c r="A16" s="1" t="s">
        <v>53</v>
      </c>
      <c r="B16" s="2" t="s">
        <v>128</v>
      </c>
    </row>
    <row r="17" spans="1:18" ht="45" customHeight="1" x14ac:dyDescent="0.25">
      <c r="A17" s="1" t="s">
        <v>105</v>
      </c>
      <c r="B17" s="2" t="s">
        <v>128</v>
      </c>
    </row>
    <row r="18" spans="1:18" ht="45" customHeight="1" x14ac:dyDescent="0.25">
      <c r="A18" s="1" t="s">
        <v>85</v>
      </c>
      <c r="B18" s="2" t="s">
        <v>128</v>
      </c>
    </row>
    <row r="19" spans="1:18" ht="45" customHeight="1" x14ac:dyDescent="0.25">
      <c r="A19" s="1" t="s">
        <v>126</v>
      </c>
      <c r="B19" s="2" t="s">
        <v>128</v>
      </c>
    </row>
    <row r="20" spans="1:18" s="3" customFormat="1" ht="60" customHeight="1" x14ac:dyDescent="0.25">
      <c r="A20" s="1" t="s">
        <v>108</v>
      </c>
      <c r="B20" s="2" t="s">
        <v>128</v>
      </c>
      <c r="C20" s="22"/>
      <c r="D20" s="22"/>
      <c r="I20" s="22"/>
      <c r="J20" s="22"/>
      <c r="K20" s="22"/>
      <c r="L20" s="22"/>
      <c r="M20" s="22"/>
      <c r="N20" s="22"/>
      <c r="O20" s="22"/>
      <c r="P20" s="1" t="s">
        <v>160</v>
      </c>
      <c r="Q20" s="1" t="s">
        <v>161</v>
      </c>
      <c r="R20" s="1" t="s">
        <v>32</v>
      </c>
    </row>
    <row r="21" spans="1:18" ht="45" customHeight="1" x14ac:dyDescent="0.25">
      <c r="A21" s="1"/>
    </row>
    <row r="22" spans="1:18" ht="45" customHeight="1" x14ac:dyDescent="0.25">
      <c r="A22" s="1"/>
    </row>
    <row r="23" spans="1:18" ht="45" customHeight="1" x14ac:dyDescent="0.25">
      <c r="A23" s="1"/>
    </row>
    <row r="24" spans="1:18" ht="45" customHeight="1" x14ac:dyDescent="0.25">
      <c r="A24" s="1"/>
    </row>
    <row r="25" spans="1:18" ht="45" customHeight="1" x14ac:dyDescent="0.25">
      <c r="A25" s="1"/>
    </row>
    <row r="26" spans="1:18" ht="45" customHeight="1" x14ac:dyDescent="0.25">
      <c r="A26" s="1"/>
    </row>
    <row r="27" spans="1:18" ht="45" customHeight="1" x14ac:dyDescent="0.25">
      <c r="A27" s="1"/>
    </row>
    <row r="28" spans="1:18" ht="45" customHeight="1" x14ac:dyDescent="0.25"/>
  </sheetData>
  <sortState xmlns:xlrd2="http://schemas.microsoft.com/office/spreadsheetml/2017/richdata2" ref="A2:A19">
    <sortCondition ref="A2:A19"/>
  </sortState>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4447C-5CB1-4B24-B477-D2370A024032}">
  <dimension ref="A1:C35"/>
  <sheetViews>
    <sheetView workbookViewId="0"/>
  </sheetViews>
  <sheetFormatPr defaultRowHeight="15" x14ac:dyDescent="0.25"/>
  <cols>
    <col min="1" max="1" width="22" bestFit="1" customWidth="1"/>
    <col min="3" max="3" width="37.7109375" bestFit="1" customWidth="1"/>
  </cols>
  <sheetData>
    <row r="1" spans="1:3" x14ac:dyDescent="0.25">
      <c r="A1" s="17" t="s">
        <v>607</v>
      </c>
      <c r="B1" s="17" t="s">
        <v>652</v>
      </c>
      <c r="C1" s="17" t="s">
        <v>653</v>
      </c>
    </row>
    <row r="2" spans="1:3" x14ac:dyDescent="0.25">
      <c r="A2" t="s">
        <v>617</v>
      </c>
      <c r="B2" t="s">
        <v>481</v>
      </c>
      <c r="C2" t="s">
        <v>609</v>
      </c>
    </row>
    <row r="3" spans="1:3" x14ac:dyDescent="0.25">
      <c r="A3" t="s">
        <v>617</v>
      </c>
      <c r="B3" t="s">
        <v>485</v>
      </c>
      <c r="C3" t="s">
        <v>613</v>
      </c>
    </row>
    <row r="4" spans="1:3" x14ac:dyDescent="0.25">
      <c r="A4" t="s">
        <v>617</v>
      </c>
      <c r="B4" t="s">
        <v>503</v>
      </c>
      <c r="C4" t="s">
        <v>614</v>
      </c>
    </row>
    <row r="5" spans="1:3" x14ac:dyDescent="0.25">
      <c r="A5" t="s">
        <v>617</v>
      </c>
      <c r="B5" t="s">
        <v>507</v>
      </c>
      <c r="C5" t="s">
        <v>616</v>
      </c>
    </row>
    <row r="6" spans="1:3" x14ac:dyDescent="0.25">
      <c r="A6" t="s">
        <v>560</v>
      </c>
      <c r="B6" t="s">
        <v>466</v>
      </c>
      <c r="C6" t="s">
        <v>610</v>
      </c>
    </row>
    <row r="7" spans="1:3" x14ac:dyDescent="0.25">
      <c r="A7" t="s">
        <v>560</v>
      </c>
      <c r="B7" t="s">
        <v>563</v>
      </c>
      <c r="C7" t="s">
        <v>611</v>
      </c>
    </row>
    <row r="8" spans="1:3" x14ac:dyDescent="0.25">
      <c r="A8" t="s">
        <v>560</v>
      </c>
      <c r="B8" t="s">
        <v>561</v>
      </c>
      <c r="C8" t="s">
        <v>612</v>
      </c>
    </row>
    <row r="9" spans="1:3" x14ac:dyDescent="0.25">
      <c r="A9" t="s">
        <v>560</v>
      </c>
      <c r="B9" t="s">
        <v>562</v>
      </c>
      <c r="C9" t="s">
        <v>615</v>
      </c>
    </row>
    <row r="10" spans="1:3" x14ac:dyDescent="0.25">
      <c r="A10" t="s">
        <v>618</v>
      </c>
      <c r="B10" t="s">
        <v>619</v>
      </c>
      <c r="C10" t="s">
        <v>549</v>
      </c>
    </row>
    <row r="11" spans="1:3" x14ac:dyDescent="0.25">
      <c r="A11" t="s">
        <v>618</v>
      </c>
      <c r="B11" t="s">
        <v>620</v>
      </c>
      <c r="C11" t="s">
        <v>324</v>
      </c>
    </row>
    <row r="12" spans="1:3" x14ac:dyDescent="0.25">
      <c r="A12" t="s">
        <v>618</v>
      </c>
      <c r="B12" t="s">
        <v>621</v>
      </c>
      <c r="C12" t="s">
        <v>622</v>
      </c>
    </row>
    <row r="13" spans="1:3" x14ac:dyDescent="0.25">
      <c r="A13" t="s">
        <v>618</v>
      </c>
      <c r="B13" t="s">
        <v>623</v>
      </c>
      <c r="C13" t="s">
        <v>628</v>
      </c>
    </row>
    <row r="14" spans="1:3" x14ac:dyDescent="0.25">
      <c r="A14" t="s">
        <v>618</v>
      </c>
      <c r="B14" t="s">
        <v>624</v>
      </c>
      <c r="C14" t="s">
        <v>625</v>
      </c>
    </row>
    <row r="15" spans="1:3" x14ac:dyDescent="0.25">
      <c r="A15" t="s">
        <v>618</v>
      </c>
      <c r="B15" t="s">
        <v>626</v>
      </c>
      <c r="C15" t="s">
        <v>627</v>
      </c>
    </row>
    <row r="16" spans="1:3" x14ac:dyDescent="0.25">
      <c r="A16" t="s">
        <v>629</v>
      </c>
      <c r="B16" t="s">
        <v>569</v>
      </c>
      <c r="C16" t="s">
        <v>630</v>
      </c>
    </row>
    <row r="17" spans="1:3" x14ac:dyDescent="0.25">
      <c r="A17" t="s">
        <v>629</v>
      </c>
      <c r="B17" t="s">
        <v>579</v>
      </c>
      <c r="C17" t="s">
        <v>632</v>
      </c>
    </row>
    <row r="18" spans="1:3" x14ac:dyDescent="0.25">
      <c r="A18" t="s">
        <v>629</v>
      </c>
      <c r="B18" t="s">
        <v>581</v>
      </c>
      <c r="C18" t="s">
        <v>631</v>
      </c>
    </row>
    <row r="19" spans="1:3" x14ac:dyDescent="0.25">
      <c r="A19" t="s">
        <v>629</v>
      </c>
      <c r="B19" t="s">
        <v>633</v>
      </c>
      <c r="C19" t="s">
        <v>640</v>
      </c>
    </row>
    <row r="20" spans="1:3" x14ac:dyDescent="0.25">
      <c r="A20" t="s">
        <v>629</v>
      </c>
      <c r="B20" t="s">
        <v>634</v>
      </c>
      <c r="C20" t="s">
        <v>639</v>
      </c>
    </row>
    <row r="21" spans="1:3" x14ac:dyDescent="0.25">
      <c r="A21" t="s">
        <v>629</v>
      </c>
      <c r="B21" t="s">
        <v>635</v>
      </c>
      <c r="C21" t="s">
        <v>638</v>
      </c>
    </row>
    <row r="22" spans="1:3" x14ac:dyDescent="0.25">
      <c r="A22" t="s">
        <v>629</v>
      </c>
      <c r="B22" t="s">
        <v>636</v>
      </c>
      <c r="C22" t="s">
        <v>637</v>
      </c>
    </row>
    <row r="23" spans="1:3" x14ac:dyDescent="0.25">
      <c r="A23" t="s">
        <v>568</v>
      </c>
      <c r="B23" t="s">
        <v>501</v>
      </c>
      <c r="C23" t="s">
        <v>641</v>
      </c>
    </row>
    <row r="24" spans="1:3" x14ac:dyDescent="0.25">
      <c r="A24" t="s">
        <v>568</v>
      </c>
      <c r="B24" t="s">
        <v>570</v>
      </c>
      <c r="C24" t="s">
        <v>642</v>
      </c>
    </row>
    <row r="25" spans="1:3" x14ac:dyDescent="0.25">
      <c r="A25" t="s">
        <v>568</v>
      </c>
      <c r="B25" t="s">
        <v>589</v>
      </c>
      <c r="C25" t="s">
        <v>643</v>
      </c>
    </row>
    <row r="26" spans="1:3" x14ac:dyDescent="0.25">
      <c r="A26" t="s">
        <v>568</v>
      </c>
      <c r="B26" t="s">
        <v>644</v>
      </c>
      <c r="C26" t="s">
        <v>645</v>
      </c>
    </row>
    <row r="27" spans="1:3" x14ac:dyDescent="0.25">
      <c r="A27" t="s">
        <v>568</v>
      </c>
      <c r="B27" t="s">
        <v>646</v>
      </c>
      <c r="C27" t="s">
        <v>647</v>
      </c>
    </row>
    <row r="28" spans="1:3" x14ac:dyDescent="0.25">
      <c r="A28" t="s">
        <v>568</v>
      </c>
      <c r="B28" t="s">
        <v>648</v>
      </c>
      <c r="C28" t="s">
        <v>542</v>
      </c>
    </row>
    <row r="29" spans="1:3" x14ac:dyDescent="0.25">
      <c r="A29" t="s">
        <v>649</v>
      </c>
      <c r="B29" t="s">
        <v>501</v>
      </c>
      <c r="C29" t="s">
        <v>543</v>
      </c>
    </row>
    <row r="30" spans="1:3" x14ac:dyDescent="0.25">
      <c r="A30" t="s">
        <v>649</v>
      </c>
      <c r="B30" t="s">
        <v>589</v>
      </c>
      <c r="C30" t="s">
        <v>547</v>
      </c>
    </row>
    <row r="31" spans="1:3" x14ac:dyDescent="0.25">
      <c r="A31" t="s">
        <v>649</v>
      </c>
      <c r="B31" t="s">
        <v>648</v>
      </c>
      <c r="C31" t="s">
        <v>542</v>
      </c>
    </row>
    <row r="32" spans="1:3" x14ac:dyDescent="0.25">
      <c r="A32" t="s">
        <v>649</v>
      </c>
      <c r="B32" t="s">
        <v>595</v>
      </c>
      <c r="C32" t="s">
        <v>650</v>
      </c>
    </row>
    <row r="33" spans="1:3" x14ac:dyDescent="0.25">
      <c r="A33" t="s">
        <v>311</v>
      </c>
      <c r="B33" t="s">
        <v>598</v>
      </c>
      <c r="C33" t="s">
        <v>546</v>
      </c>
    </row>
    <row r="34" spans="1:3" x14ac:dyDescent="0.25">
      <c r="A34" t="s">
        <v>311</v>
      </c>
      <c r="B34" t="s">
        <v>599</v>
      </c>
      <c r="C34" t="s">
        <v>544</v>
      </c>
    </row>
    <row r="35" spans="1:3" x14ac:dyDescent="0.25">
      <c r="A35" t="s">
        <v>311</v>
      </c>
      <c r="B35" t="s">
        <v>651</v>
      </c>
      <c r="C35" t="s">
        <v>545</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36CB4-E22F-4DB4-8435-F205D8DFE5D2}">
  <dimension ref="A1:B17"/>
  <sheetViews>
    <sheetView workbookViewId="0"/>
  </sheetViews>
  <sheetFormatPr defaultRowHeight="15" x14ac:dyDescent="0.25"/>
  <cols>
    <col min="2" max="2" width="14" customWidth="1"/>
  </cols>
  <sheetData>
    <row r="1" spans="1:2" x14ac:dyDescent="0.25">
      <c r="A1" s="23" t="s">
        <v>237</v>
      </c>
      <c r="B1" s="23" t="s">
        <v>235</v>
      </c>
    </row>
    <row r="2" spans="1:2" x14ac:dyDescent="0.25">
      <c r="A2" s="7">
        <v>2009</v>
      </c>
      <c r="B2">
        <f>COUNTIFS('Base Artigos'!$C$2:$C$24,'Publicações por ano'!A2)</f>
        <v>2</v>
      </c>
    </row>
    <row r="3" spans="1:2" x14ac:dyDescent="0.25">
      <c r="A3" s="7">
        <v>2010</v>
      </c>
      <c r="B3">
        <f>COUNTIFS('Base Artigos'!$C$2:$C$24,'Publicações por ano'!A3)</f>
        <v>0</v>
      </c>
    </row>
    <row r="4" spans="1:2" x14ac:dyDescent="0.25">
      <c r="A4" s="7">
        <v>2011</v>
      </c>
      <c r="B4">
        <f>COUNTIFS('Base Artigos'!$C$2:$C$24,'Publicações por ano'!A4)</f>
        <v>1</v>
      </c>
    </row>
    <row r="5" spans="1:2" x14ac:dyDescent="0.25">
      <c r="A5" s="7">
        <v>2012</v>
      </c>
      <c r="B5">
        <f>COUNTIFS('Base Artigos'!$C$2:$C$24,'Publicações por ano'!A5)</f>
        <v>1</v>
      </c>
    </row>
    <row r="6" spans="1:2" x14ac:dyDescent="0.25">
      <c r="A6" s="7">
        <v>2013</v>
      </c>
      <c r="B6">
        <f>COUNTIFS('Base Artigos'!$C$2:$C$24,'Publicações por ano'!A6)</f>
        <v>3</v>
      </c>
    </row>
    <row r="7" spans="1:2" x14ac:dyDescent="0.25">
      <c r="A7" s="7">
        <v>2014</v>
      </c>
      <c r="B7">
        <f>COUNTIFS('Base Artigos'!$C$2:$C$24,'Publicações por ano'!A7)</f>
        <v>3</v>
      </c>
    </row>
    <row r="8" spans="1:2" x14ac:dyDescent="0.25">
      <c r="A8" s="7">
        <v>2015</v>
      </c>
      <c r="B8">
        <f>COUNTIFS('Base Artigos'!$C$2:$C$24,'Publicações por ano'!A8)</f>
        <v>1</v>
      </c>
    </row>
    <row r="9" spans="1:2" x14ac:dyDescent="0.25">
      <c r="A9" s="7">
        <v>2016</v>
      </c>
      <c r="B9">
        <f>COUNTIFS('Base Artigos'!$C$2:$C$24,'Publicações por ano'!A9)</f>
        <v>0</v>
      </c>
    </row>
    <row r="10" spans="1:2" x14ac:dyDescent="0.25">
      <c r="A10" s="7">
        <v>2017</v>
      </c>
      <c r="B10">
        <f>COUNTIFS('Base Artigos'!$C$2:$C$24,'Publicações por ano'!A10)</f>
        <v>1</v>
      </c>
    </row>
    <row r="11" spans="1:2" x14ac:dyDescent="0.25">
      <c r="A11" s="7">
        <v>2018</v>
      </c>
      <c r="B11">
        <f>COUNTIFS('Base Artigos'!$C$2:$C$24,'Publicações por ano'!A11)</f>
        <v>1</v>
      </c>
    </row>
    <row r="12" spans="1:2" x14ac:dyDescent="0.25">
      <c r="A12" s="7">
        <v>2019</v>
      </c>
      <c r="B12">
        <f>COUNTIFS('Base Artigos'!$C$2:$C$24,'Publicações por ano'!A12)</f>
        <v>3</v>
      </c>
    </row>
    <row r="13" spans="1:2" x14ac:dyDescent="0.25">
      <c r="A13" s="7">
        <v>2020</v>
      </c>
      <c r="B13">
        <f>COUNTIFS('Base Artigos'!$C$2:$C$24,'Publicações por ano'!A13)</f>
        <v>1</v>
      </c>
    </row>
    <row r="14" spans="1:2" x14ac:dyDescent="0.25">
      <c r="A14" s="7">
        <v>2021</v>
      </c>
      <c r="B14">
        <f>COUNTIFS('Base Artigos'!$C$2:$C$24,'Publicações por ano'!A14)</f>
        <v>2</v>
      </c>
    </row>
    <row r="15" spans="1:2" x14ac:dyDescent="0.25">
      <c r="A15" s="7">
        <v>2022</v>
      </c>
      <c r="B15">
        <f>COUNTIFS('Base Artigos'!$C$2:$C$24,'Publicações por ano'!A15)</f>
        <v>1</v>
      </c>
    </row>
    <row r="16" spans="1:2" x14ac:dyDescent="0.25">
      <c r="A16" s="7">
        <v>2023</v>
      </c>
      <c r="B16">
        <f>COUNTIFS('Base Artigos'!$C$2:$C$24,'Publicações por ano'!A16)</f>
        <v>2</v>
      </c>
    </row>
    <row r="17" spans="1:2" x14ac:dyDescent="0.25">
      <c r="A17" s="7">
        <v>2024</v>
      </c>
      <c r="B17">
        <f>COUNTIFS('Base Artigos'!$C$2:$C$24,'Publicações por ano'!A17)</f>
        <v>1</v>
      </c>
    </row>
  </sheetData>
  <pageMargins left="0.511811024" right="0.511811024" top="0.78740157499999996" bottom="0.78740157499999996" header="0.31496062000000002" footer="0.31496062000000002"/>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2C514-CACA-4218-9471-DC0CD895EDDD}">
  <dimension ref="A1:D85"/>
  <sheetViews>
    <sheetView zoomScaleNormal="100" workbookViewId="0"/>
  </sheetViews>
  <sheetFormatPr defaultRowHeight="15" x14ac:dyDescent="0.25"/>
  <cols>
    <col min="1" max="1" width="12.7109375" customWidth="1"/>
    <col min="2" max="3" width="30.7109375" customWidth="1"/>
    <col min="4" max="4" width="138.85546875" bestFit="1" customWidth="1"/>
    <col min="6" max="6" width="43.85546875" bestFit="1" customWidth="1"/>
    <col min="7" max="7" width="15.85546875" bestFit="1" customWidth="1"/>
    <col min="8" max="8" width="24.42578125" bestFit="1" customWidth="1"/>
  </cols>
  <sheetData>
    <row r="1" spans="1:3" x14ac:dyDescent="0.25">
      <c r="A1" s="23" t="s">
        <v>234</v>
      </c>
      <c r="B1" s="23" t="s">
        <v>305</v>
      </c>
      <c r="C1" s="23" t="s">
        <v>304</v>
      </c>
    </row>
    <row r="2" spans="1:3" x14ac:dyDescent="0.25">
      <c r="A2" s="7" t="s">
        <v>256</v>
      </c>
      <c r="B2">
        <f t="shared" ref="B2:B11" si="0">COUNTIFS($A$18:$A$85,"Coautor",$C$18:$C$85,A2)</f>
        <v>1</v>
      </c>
      <c r="C2">
        <f t="shared" ref="C2:C11" si="1">COUNTIFS($A$18:$A$85,"Principal",$C$18:$C$85,A2)</f>
        <v>0</v>
      </c>
    </row>
    <row r="3" spans="1:3" x14ac:dyDescent="0.25">
      <c r="A3" s="7" t="s">
        <v>257</v>
      </c>
      <c r="B3">
        <f t="shared" si="0"/>
        <v>1</v>
      </c>
      <c r="C3">
        <f t="shared" si="1"/>
        <v>0</v>
      </c>
    </row>
    <row r="4" spans="1:3" x14ac:dyDescent="0.25">
      <c r="A4" s="7" t="s">
        <v>251</v>
      </c>
      <c r="B4">
        <f t="shared" si="0"/>
        <v>1</v>
      </c>
      <c r="C4">
        <f t="shared" si="1"/>
        <v>0</v>
      </c>
    </row>
    <row r="5" spans="1:3" x14ac:dyDescent="0.25">
      <c r="A5" s="7" t="s">
        <v>228</v>
      </c>
      <c r="B5">
        <f t="shared" si="0"/>
        <v>0</v>
      </c>
      <c r="C5">
        <f t="shared" si="1"/>
        <v>1</v>
      </c>
    </row>
    <row r="6" spans="1:3" x14ac:dyDescent="0.25">
      <c r="A6" s="7" t="s">
        <v>233</v>
      </c>
      <c r="B6">
        <f t="shared" si="0"/>
        <v>1</v>
      </c>
      <c r="C6">
        <f t="shared" si="1"/>
        <v>1</v>
      </c>
    </row>
    <row r="7" spans="1:3" x14ac:dyDescent="0.25">
      <c r="A7" s="7" t="s">
        <v>230</v>
      </c>
      <c r="B7">
        <f t="shared" si="0"/>
        <v>4</v>
      </c>
      <c r="C7">
        <f t="shared" si="1"/>
        <v>2</v>
      </c>
    </row>
    <row r="8" spans="1:3" x14ac:dyDescent="0.25">
      <c r="A8" s="7" t="s">
        <v>232</v>
      </c>
      <c r="B8">
        <f t="shared" si="0"/>
        <v>4</v>
      </c>
      <c r="C8">
        <f t="shared" si="1"/>
        <v>2</v>
      </c>
    </row>
    <row r="9" spans="1:3" x14ac:dyDescent="0.25">
      <c r="A9" s="7" t="s">
        <v>229</v>
      </c>
      <c r="B9">
        <f t="shared" si="0"/>
        <v>9</v>
      </c>
      <c r="C9">
        <f t="shared" si="1"/>
        <v>2</v>
      </c>
    </row>
    <row r="10" spans="1:3" x14ac:dyDescent="0.25">
      <c r="A10" s="7" t="s">
        <v>231</v>
      </c>
      <c r="B10">
        <f t="shared" si="0"/>
        <v>8</v>
      </c>
      <c r="C10">
        <f t="shared" si="1"/>
        <v>3</v>
      </c>
    </row>
    <row r="11" spans="1:3" x14ac:dyDescent="0.25">
      <c r="A11" s="7" t="s">
        <v>227</v>
      </c>
      <c r="B11">
        <f t="shared" si="0"/>
        <v>16</v>
      </c>
      <c r="C11">
        <f t="shared" si="1"/>
        <v>12</v>
      </c>
    </row>
    <row r="17" spans="1:4" x14ac:dyDescent="0.25">
      <c r="A17" s="17" t="s">
        <v>607</v>
      </c>
      <c r="B17" s="17" t="s">
        <v>224</v>
      </c>
      <c r="C17" s="17" t="s">
        <v>234</v>
      </c>
      <c r="D17" s="17" t="s">
        <v>303</v>
      </c>
    </row>
    <row r="18" spans="1:4" x14ac:dyDescent="0.25">
      <c r="A18" t="s">
        <v>606</v>
      </c>
      <c r="B18" t="s">
        <v>253</v>
      </c>
      <c r="C18" t="s">
        <v>227</v>
      </c>
      <c r="D18" t="s">
        <v>68</v>
      </c>
    </row>
    <row r="19" spans="1:4" x14ac:dyDescent="0.25">
      <c r="A19" t="s">
        <v>605</v>
      </c>
      <c r="B19" t="s">
        <v>254</v>
      </c>
      <c r="C19" t="s">
        <v>256</v>
      </c>
      <c r="D19" t="s">
        <v>68</v>
      </c>
    </row>
    <row r="20" spans="1:4" x14ac:dyDescent="0.25">
      <c r="A20" t="s">
        <v>605</v>
      </c>
      <c r="B20" t="s">
        <v>255</v>
      </c>
      <c r="C20" t="s">
        <v>257</v>
      </c>
      <c r="D20" t="s">
        <v>68</v>
      </c>
    </row>
    <row r="21" spans="1:4" x14ac:dyDescent="0.25">
      <c r="A21" t="s">
        <v>606</v>
      </c>
      <c r="B21" t="s">
        <v>258</v>
      </c>
      <c r="C21" t="s">
        <v>228</v>
      </c>
      <c r="D21" t="s">
        <v>91</v>
      </c>
    </row>
    <row r="22" spans="1:4" x14ac:dyDescent="0.25">
      <c r="A22" t="s">
        <v>605</v>
      </c>
      <c r="B22" t="s">
        <v>259</v>
      </c>
      <c r="C22" t="s">
        <v>231</v>
      </c>
      <c r="D22" t="s">
        <v>91</v>
      </c>
    </row>
    <row r="23" spans="1:4" x14ac:dyDescent="0.25">
      <c r="A23" t="s">
        <v>605</v>
      </c>
      <c r="B23" t="s">
        <v>260</v>
      </c>
      <c r="C23" t="s">
        <v>231</v>
      </c>
      <c r="D23" t="s">
        <v>91</v>
      </c>
    </row>
    <row r="24" spans="1:4" x14ac:dyDescent="0.25">
      <c r="A24" t="s">
        <v>606</v>
      </c>
      <c r="B24" t="s">
        <v>261</v>
      </c>
      <c r="C24" t="s">
        <v>227</v>
      </c>
      <c r="D24" t="s">
        <v>6</v>
      </c>
    </row>
    <row r="25" spans="1:4" x14ac:dyDescent="0.25">
      <c r="A25" t="s">
        <v>605</v>
      </c>
      <c r="B25" t="s">
        <v>262</v>
      </c>
      <c r="C25" t="s">
        <v>227</v>
      </c>
      <c r="D25" t="s">
        <v>6</v>
      </c>
    </row>
    <row r="26" spans="1:4" x14ac:dyDescent="0.25">
      <c r="A26" t="s">
        <v>606</v>
      </c>
      <c r="B26" t="s">
        <v>271</v>
      </c>
      <c r="C26" t="s">
        <v>227</v>
      </c>
      <c r="D26" t="s">
        <v>18</v>
      </c>
    </row>
    <row r="27" spans="1:4" x14ac:dyDescent="0.25">
      <c r="A27" t="s">
        <v>605</v>
      </c>
      <c r="B27" t="s">
        <v>263</v>
      </c>
      <c r="C27" t="s">
        <v>227</v>
      </c>
      <c r="D27" t="s">
        <v>18</v>
      </c>
    </row>
    <row r="28" spans="1:4" x14ac:dyDescent="0.25">
      <c r="A28" t="s">
        <v>605</v>
      </c>
      <c r="B28" t="s">
        <v>264</v>
      </c>
      <c r="C28" t="s">
        <v>227</v>
      </c>
      <c r="D28" t="s">
        <v>18</v>
      </c>
    </row>
    <row r="29" spans="1:4" x14ac:dyDescent="0.25">
      <c r="A29" t="s">
        <v>606</v>
      </c>
      <c r="B29" t="s">
        <v>265</v>
      </c>
      <c r="C29" t="s">
        <v>229</v>
      </c>
      <c r="D29" t="s">
        <v>97</v>
      </c>
    </row>
    <row r="30" spans="1:4" x14ac:dyDescent="0.25">
      <c r="A30" t="s">
        <v>605</v>
      </c>
      <c r="B30" t="s">
        <v>266</v>
      </c>
      <c r="C30" t="s">
        <v>229</v>
      </c>
      <c r="D30" t="s">
        <v>97</v>
      </c>
    </row>
    <row r="31" spans="1:4" x14ac:dyDescent="0.25">
      <c r="A31" t="s">
        <v>605</v>
      </c>
      <c r="B31" t="s">
        <v>267</v>
      </c>
      <c r="C31" t="s">
        <v>229</v>
      </c>
      <c r="D31" t="s">
        <v>97</v>
      </c>
    </row>
    <row r="32" spans="1:4" x14ac:dyDescent="0.25">
      <c r="A32" t="s">
        <v>605</v>
      </c>
      <c r="B32" t="s">
        <v>268</v>
      </c>
      <c r="C32" t="s">
        <v>229</v>
      </c>
      <c r="D32" t="s">
        <v>97</v>
      </c>
    </row>
    <row r="33" spans="1:4" x14ac:dyDescent="0.25">
      <c r="A33" t="s">
        <v>605</v>
      </c>
      <c r="B33" t="s">
        <v>269</v>
      </c>
      <c r="C33" t="s">
        <v>229</v>
      </c>
      <c r="D33" t="s">
        <v>97</v>
      </c>
    </row>
    <row r="34" spans="1:4" x14ac:dyDescent="0.25">
      <c r="A34" t="s">
        <v>605</v>
      </c>
      <c r="B34" t="s">
        <v>270</v>
      </c>
      <c r="C34" t="s">
        <v>229</v>
      </c>
      <c r="D34" t="s">
        <v>97</v>
      </c>
    </row>
    <row r="35" spans="1:4" x14ac:dyDescent="0.25">
      <c r="A35" t="s">
        <v>606</v>
      </c>
      <c r="B35" t="s">
        <v>271</v>
      </c>
      <c r="C35" t="s">
        <v>227</v>
      </c>
      <c r="D35" t="s">
        <v>33</v>
      </c>
    </row>
    <row r="36" spans="1:4" x14ac:dyDescent="0.25">
      <c r="A36" t="s">
        <v>605</v>
      </c>
      <c r="B36" t="s">
        <v>264</v>
      </c>
      <c r="C36" t="s">
        <v>227</v>
      </c>
      <c r="D36" t="s">
        <v>33</v>
      </c>
    </row>
    <row r="37" spans="1:4" x14ac:dyDescent="0.25">
      <c r="A37" t="s">
        <v>606</v>
      </c>
      <c r="B37" t="s">
        <v>261</v>
      </c>
      <c r="C37" t="s">
        <v>227</v>
      </c>
      <c r="D37" t="s">
        <v>99</v>
      </c>
    </row>
    <row r="38" spans="1:4" x14ac:dyDescent="0.25">
      <c r="A38" t="s">
        <v>605</v>
      </c>
      <c r="B38" t="s">
        <v>262</v>
      </c>
      <c r="C38" t="s">
        <v>227</v>
      </c>
      <c r="D38" t="s">
        <v>99</v>
      </c>
    </row>
    <row r="39" spans="1:4" x14ac:dyDescent="0.25">
      <c r="A39" t="s">
        <v>605</v>
      </c>
      <c r="B39" t="s">
        <v>272</v>
      </c>
      <c r="C39" t="s">
        <v>227</v>
      </c>
      <c r="D39" t="s">
        <v>99</v>
      </c>
    </row>
    <row r="40" spans="1:4" x14ac:dyDescent="0.25">
      <c r="A40" t="s">
        <v>606</v>
      </c>
      <c r="B40" t="s">
        <v>271</v>
      </c>
      <c r="C40" t="s">
        <v>227</v>
      </c>
      <c r="D40" t="s">
        <v>129</v>
      </c>
    </row>
    <row r="41" spans="1:4" x14ac:dyDescent="0.25">
      <c r="A41" t="s">
        <v>605</v>
      </c>
      <c r="B41" t="s">
        <v>264</v>
      </c>
      <c r="C41" t="s">
        <v>227</v>
      </c>
      <c r="D41" t="s">
        <v>129</v>
      </c>
    </row>
    <row r="42" spans="1:4" x14ac:dyDescent="0.25">
      <c r="A42" t="s">
        <v>606</v>
      </c>
      <c r="B42" t="s">
        <v>273</v>
      </c>
      <c r="C42" t="s">
        <v>233</v>
      </c>
      <c r="D42" t="s">
        <v>25</v>
      </c>
    </row>
    <row r="43" spans="1:4" x14ac:dyDescent="0.25">
      <c r="A43" t="s">
        <v>605</v>
      </c>
      <c r="B43" t="s">
        <v>274</v>
      </c>
      <c r="C43" t="s">
        <v>233</v>
      </c>
      <c r="D43" t="s">
        <v>25</v>
      </c>
    </row>
    <row r="44" spans="1:4" x14ac:dyDescent="0.25">
      <c r="A44" t="s">
        <v>605</v>
      </c>
      <c r="B44" t="s">
        <v>275</v>
      </c>
      <c r="C44" t="s">
        <v>251</v>
      </c>
      <c r="D44" t="s">
        <v>25</v>
      </c>
    </row>
    <row r="45" spans="1:4" x14ac:dyDescent="0.25">
      <c r="A45" t="s">
        <v>606</v>
      </c>
      <c r="B45" t="s">
        <v>276</v>
      </c>
      <c r="C45" t="s">
        <v>231</v>
      </c>
      <c r="D45" t="s">
        <v>85</v>
      </c>
    </row>
    <row r="46" spans="1:4" x14ac:dyDescent="0.25">
      <c r="A46" t="s">
        <v>605</v>
      </c>
      <c r="B46" t="s">
        <v>277</v>
      </c>
      <c r="C46" t="s">
        <v>231</v>
      </c>
      <c r="D46" t="s">
        <v>85</v>
      </c>
    </row>
    <row r="47" spans="1:4" x14ac:dyDescent="0.25">
      <c r="A47" t="s">
        <v>606</v>
      </c>
      <c r="B47" t="s">
        <v>278</v>
      </c>
      <c r="C47" t="s">
        <v>227</v>
      </c>
      <c r="D47" t="s">
        <v>22</v>
      </c>
    </row>
    <row r="48" spans="1:4" x14ac:dyDescent="0.25">
      <c r="A48" t="s">
        <v>605</v>
      </c>
      <c r="B48" t="s">
        <v>264</v>
      </c>
      <c r="C48" t="s">
        <v>227</v>
      </c>
      <c r="D48" t="s">
        <v>22</v>
      </c>
    </row>
    <row r="49" spans="1:4" x14ac:dyDescent="0.25">
      <c r="A49" t="s">
        <v>606</v>
      </c>
      <c r="B49" t="s">
        <v>271</v>
      </c>
      <c r="C49" t="s">
        <v>227</v>
      </c>
      <c r="D49" t="s">
        <v>107</v>
      </c>
    </row>
    <row r="50" spans="1:4" x14ac:dyDescent="0.25">
      <c r="A50" t="s">
        <v>605</v>
      </c>
      <c r="B50" t="s">
        <v>264</v>
      </c>
      <c r="C50" t="s">
        <v>227</v>
      </c>
      <c r="D50" t="s">
        <v>107</v>
      </c>
    </row>
    <row r="51" spans="1:4" x14ac:dyDescent="0.25">
      <c r="A51" t="s">
        <v>606</v>
      </c>
      <c r="B51" t="s">
        <v>279</v>
      </c>
      <c r="C51" t="s">
        <v>230</v>
      </c>
      <c r="D51" t="s">
        <v>53</v>
      </c>
    </row>
    <row r="52" spans="1:4" x14ac:dyDescent="0.25">
      <c r="A52" t="s">
        <v>605</v>
      </c>
      <c r="B52" t="s">
        <v>280</v>
      </c>
      <c r="C52" t="s">
        <v>230</v>
      </c>
      <c r="D52" t="s">
        <v>53</v>
      </c>
    </row>
    <row r="53" spans="1:4" x14ac:dyDescent="0.25">
      <c r="A53" t="s">
        <v>605</v>
      </c>
      <c r="B53" t="s">
        <v>281</v>
      </c>
      <c r="C53" t="s">
        <v>230</v>
      </c>
      <c r="D53" t="s">
        <v>53</v>
      </c>
    </row>
    <row r="54" spans="1:4" x14ac:dyDescent="0.25">
      <c r="A54" t="s">
        <v>605</v>
      </c>
      <c r="B54" t="s">
        <v>282</v>
      </c>
      <c r="C54" t="s">
        <v>230</v>
      </c>
      <c r="D54" t="s">
        <v>53</v>
      </c>
    </row>
    <row r="55" spans="1:4" x14ac:dyDescent="0.25">
      <c r="A55" t="s">
        <v>606</v>
      </c>
      <c r="B55" t="s">
        <v>278</v>
      </c>
      <c r="C55" t="s">
        <v>227</v>
      </c>
      <c r="D55" t="s">
        <v>55</v>
      </c>
    </row>
    <row r="56" spans="1:4" x14ac:dyDescent="0.25">
      <c r="A56" t="s">
        <v>605</v>
      </c>
      <c r="B56" t="s">
        <v>264</v>
      </c>
      <c r="C56" t="s">
        <v>227</v>
      </c>
      <c r="D56" t="s">
        <v>55</v>
      </c>
    </row>
    <row r="57" spans="1:4" x14ac:dyDescent="0.25">
      <c r="A57" t="s">
        <v>606</v>
      </c>
      <c r="B57" t="s">
        <v>283</v>
      </c>
      <c r="C57" t="s">
        <v>232</v>
      </c>
      <c r="D57" t="s">
        <v>82</v>
      </c>
    </row>
    <row r="58" spans="1:4" x14ac:dyDescent="0.25">
      <c r="A58" t="s">
        <v>605</v>
      </c>
      <c r="B58" t="s">
        <v>284</v>
      </c>
      <c r="C58" t="s">
        <v>232</v>
      </c>
      <c r="D58" t="s">
        <v>82</v>
      </c>
    </row>
    <row r="59" spans="1:4" x14ac:dyDescent="0.25">
      <c r="A59" t="s">
        <v>605</v>
      </c>
      <c r="B59" t="s">
        <v>285</v>
      </c>
      <c r="C59" t="s">
        <v>232</v>
      </c>
      <c r="D59" t="s">
        <v>82</v>
      </c>
    </row>
    <row r="60" spans="1:4" x14ac:dyDescent="0.25">
      <c r="A60" t="s">
        <v>606</v>
      </c>
      <c r="B60" t="s">
        <v>286</v>
      </c>
      <c r="C60" t="s">
        <v>231</v>
      </c>
      <c r="D60" t="s">
        <v>65</v>
      </c>
    </row>
    <row r="61" spans="1:4" x14ac:dyDescent="0.25">
      <c r="A61" t="s">
        <v>605</v>
      </c>
      <c r="B61" t="s">
        <v>287</v>
      </c>
      <c r="C61" t="s">
        <v>231</v>
      </c>
      <c r="D61" t="s">
        <v>65</v>
      </c>
    </row>
    <row r="62" spans="1:4" x14ac:dyDescent="0.25">
      <c r="A62" t="s">
        <v>605</v>
      </c>
      <c r="B62" t="s">
        <v>288</v>
      </c>
      <c r="C62" t="s">
        <v>231</v>
      </c>
      <c r="D62" t="s">
        <v>65</v>
      </c>
    </row>
    <row r="63" spans="1:4" x14ac:dyDescent="0.25">
      <c r="A63" t="s">
        <v>605</v>
      </c>
      <c r="B63" t="s">
        <v>289</v>
      </c>
      <c r="C63" t="s">
        <v>231</v>
      </c>
      <c r="D63" t="s">
        <v>65</v>
      </c>
    </row>
    <row r="64" spans="1:4" x14ac:dyDescent="0.25">
      <c r="A64" t="s">
        <v>606</v>
      </c>
      <c r="B64" t="s">
        <v>290</v>
      </c>
      <c r="C64" t="s">
        <v>231</v>
      </c>
      <c r="D64" t="s">
        <v>58</v>
      </c>
    </row>
    <row r="65" spans="1:4" x14ac:dyDescent="0.25">
      <c r="A65" t="s">
        <v>605</v>
      </c>
      <c r="B65" t="s">
        <v>291</v>
      </c>
      <c r="C65" t="s">
        <v>231</v>
      </c>
      <c r="D65" t="s">
        <v>58</v>
      </c>
    </row>
    <row r="66" spans="1:4" x14ac:dyDescent="0.25">
      <c r="A66" t="s">
        <v>605</v>
      </c>
      <c r="B66" t="s">
        <v>292</v>
      </c>
      <c r="C66" t="s">
        <v>231</v>
      </c>
      <c r="D66" t="s">
        <v>58</v>
      </c>
    </row>
    <row r="67" spans="1:4" x14ac:dyDescent="0.25">
      <c r="A67" t="s">
        <v>606</v>
      </c>
      <c r="B67" t="s">
        <v>278</v>
      </c>
      <c r="C67" t="s">
        <v>227</v>
      </c>
      <c r="D67" t="s">
        <v>20</v>
      </c>
    </row>
    <row r="68" spans="1:4" x14ac:dyDescent="0.25">
      <c r="A68" t="s">
        <v>605</v>
      </c>
      <c r="B68" t="s">
        <v>264</v>
      </c>
      <c r="C68" t="s">
        <v>227</v>
      </c>
      <c r="D68" t="s">
        <v>20</v>
      </c>
    </row>
    <row r="69" spans="1:4" x14ac:dyDescent="0.25">
      <c r="A69" t="s">
        <v>606</v>
      </c>
      <c r="B69" t="s">
        <v>265</v>
      </c>
      <c r="C69" t="s">
        <v>229</v>
      </c>
      <c r="D69" t="s">
        <v>73</v>
      </c>
    </row>
    <row r="70" spans="1:4" x14ac:dyDescent="0.25">
      <c r="A70" t="s">
        <v>605</v>
      </c>
      <c r="B70" t="s">
        <v>267</v>
      </c>
      <c r="C70" t="s">
        <v>229</v>
      </c>
      <c r="D70" t="s">
        <v>73</v>
      </c>
    </row>
    <row r="71" spans="1:4" x14ac:dyDescent="0.25">
      <c r="A71" t="s">
        <v>605</v>
      </c>
      <c r="B71" t="s">
        <v>268</v>
      </c>
      <c r="C71" t="s">
        <v>229</v>
      </c>
      <c r="D71" t="s">
        <v>73</v>
      </c>
    </row>
    <row r="72" spans="1:4" x14ac:dyDescent="0.25">
      <c r="A72" t="s">
        <v>605</v>
      </c>
      <c r="B72" t="s">
        <v>269</v>
      </c>
      <c r="C72" t="s">
        <v>229</v>
      </c>
      <c r="D72" t="s">
        <v>73</v>
      </c>
    </row>
    <row r="73" spans="1:4" x14ac:dyDescent="0.25">
      <c r="A73" t="s">
        <v>605</v>
      </c>
      <c r="B73" t="s">
        <v>293</v>
      </c>
      <c r="C73" t="s">
        <v>229</v>
      </c>
      <c r="D73" t="s">
        <v>73</v>
      </c>
    </row>
    <row r="74" spans="1:4" x14ac:dyDescent="0.25">
      <c r="A74" t="s">
        <v>606</v>
      </c>
      <c r="B74" t="s">
        <v>294</v>
      </c>
      <c r="C74" t="s">
        <v>227</v>
      </c>
      <c r="D74" t="s">
        <v>42</v>
      </c>
    </row>
    <row r="75" spans="1:4" x14ac:dyDescent="0.25">
      <c r="A75" t="s">
        <v>605</v>
      </c>
      <c r="B75" t="s">
        <v>253</v>
      </c>
      <c r="C75" t="s">
        <v>227</v>
      </c>
      <c r="D75" t="s">
        <v>42</v>
      </c>
    </row>
    <row r="76" spans="1:4" x14ac:dyDescent="0.25">
      <c r="A76" t="s">
        <v>605</v>
      </c>
      <c r="B76" t="s">
        <v>295</v>
      </c>
      <c r="C76" t="s">
        <v>227</v>
      </c>
      <c r="D76" t="s">
        <v>42</v>
      </c>
    </row>
    <row r="77" spans="1:4" x14ac:dyDescent="0.25">
      <c r="A77" t="s">
        <v>605</v>
      </c>
      <c r="B77" t="s">
        <v>296</v>
      </c>
      <c r="C77" t="s">
        <v>227</v>
      </c>
      <c r="D77" t="s">
        <v>42</v>
      </c>
    </row>
    <row r="78" spans="1:4" x14ac:dyDescent="0.25">
      <c r="A78" t="s">
        <v>605</v>
      </c>
      <c r="B78" t="s">
        <v>297</v>
      </c>
      <c r="C78" t="s">
        <v>227</v>
      </c>
      <c r="D78" t="s">
        <v>42</v>
      </c>
    </row>
    <row r="79" spans="1:4" x14ac:dyDescent="0.25">
      <c r="A79" t="s">
        <v>606</v>
      </c>
      <c r="B79" t="s">
        <v>283</v>
      </c>
      <c r="C79" t="s">
        <v>232</v>
      </c>
      <c r="D79" t="s">
        <v>62</v>
      </c>
    </row>
    <row r="80" spans="1:4" x14ac:dyDescent="0.25">
      <c r="A80" t="s">
        <v>605</v>
      </c>
      <c r="B80" t="s">
        <v>298</v>
      </c>
      <c r="C80" t="s">
        <v>232</v>
      </c>
      <c r="D80" t="s">
        <v>62</v>
      </c>
    </row>
    <row r="81" spans="1:4" x14ac:dyDescent="0.25">
      <c r="A81" t="s">
        <v>605</v>
      </c>
      <c r="B81" t="s">
        <v>285</v>
      </c>
      <c r="C81" t="s">
        <v>232</v>
      </c>
      <c r="D81" t="s">
        <v>62</v>
      </c>
    </row>
    <row r="82" spans="1:4" x14ac:dyDescent="0.25">
      <c r="A82" t="s">
        <v>606</v>
      </c>
      <c r="B82" t="s">
        <v>271</v>
      </c>
      <c r="C82" t="s">
        <v>227</v>
      </c>
      <c r="D82" t="s">
        <v>299</v>
      </c>
    </row>
    <row r="83" spans="1:4" x14ac:dyDescent="0.25">
      <c r="A83" t="s">
        <v>605</v>
      </c>
      <c r="B83" t="s">
        <v>264</v>
      </c>
      <c r="C83" t="s">
        <v>227</v>
      </c>
      <c r="D83" t="s">
        <v>299</v>
      </c>
    </row>
    <row r="84" spans="1:4" x14ac:dyDescent="0.25">
      <c r="A84" t="s">
        <v>606</v>
      </c>
      <c r="B84" t="s">
        <v>300</v>
      </c>
      <c r="C84" t="s">
        <v>230</v>
      </c>
      <c r="D84" t="s">
        <v>13</v>
      </c>
    </row>
    <row r="85" spans="1:4" x14ac:dyDescent="0.25">
      <c r="A85" t="s">
        <v>605</v>
      </c>
      <c r="B85" t="s">
        <v>301</v>
      </c>
      <c r="C85" t="s">
        <v>230</v>
      </c>
      <c r="D85" t="s">
        <v>13</v>
      </c>
    </row>
  </sheetData>
  <pageMargins left="0.511811024" right="0.511811024" top="0.78740157499999996" bottom="0.78740157499999996" header="0.31496062000000002" footer="0.31496062000000002"/>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A70B3-177F-4190-AF98-DAC254A7DA22}">
  <dimension ref="A1:B7"/>
  <sheetViews>
    <sheetView zoomScaleNormal="100" workbookViewId="0"/>
  </sheetViews>
  <sheetFormatPr defaultRowHeight="15" x14ac:dyDescent="0.25"/>
  <cols>
    <col min="1" max="2" width="16.5703125" bestFit="1" customWidth="1"/>
  </cols>
  <sheetData>
    <row r="1" spans="1:2" x14ac:dyDescent="0.25">
      <c r="A1" s="23" t="s">
        <v>302</v>
      </c>
      <c r="B1" s="23" t="s">
        <v>235</v>
      </c>
    </row>
    <row r="2" spans="1:2" x14ac:dyDescent="0.25">
      <c r="A2" s="7" t="s">
        <v>238</v>
      </c>
      <c r="B2">
        <f>COUNTIFS('Base Artigos'!$I$2:$I$24,'Publicações país aplicação'!A2)</f>
        <v>2</v>
      </c>
    </row>
    <row r="3" spans="1:2" x14ac:dyDescent="0.25">
      <c r="A3" s="7" t="s">
        <v>233</v>
      </c>
      <c r="B3">
        <f>COUNTIFS('Base Artigos'!$I$2:$I$24,'Publicações país aplicação'!A3)</f>
        <v>1</v>
      </c>
    </row>
    <row r="4" spans="1:2" x14ac:dyDescent="0.25">
      <c r="A4" s="7" t="s">
        <v>230</v>
      </c>
      <c r="B4">
        <f>COUNTIFS('Base Artigos'!$I$2:$I$24,'Publicações país aplicação'!A4)</f>
        <v>2</v>
      </c>
    </row>
    <row r="5" spans="1:2" x14ac:dyDescent="0.25">
      <c r="A5" s="7" t="s">
        <v>229</v>
      </c>
      <c r="B5">
        <f>COUNTIFS('Base Artigos'!$I$2:$I$24,'Publicações país aplicação'!A5)</f>
        <v>2</v>
      </c>
    </row>
    <row r="6" spans="1:2" x14ac:dyDescent="0.25">
      <c r="A6" s="7" t="s">
        <v>231</v>
      </c>
      <c r="B6">
        <f>COUNTIFS('Base Artigos'!$I$2:$I$24,'Publicações país aplicação'!A6)</f>
        <v>4</v>
      </c>
    </row>
    <row r="7" spans="1:2" x14ac:dyDescent="0.25">
      <c r="A7" s="7" t="s">
        <v>227</v>
      </c>
      <c r="B7">
        <f>COUNTIFS('Base Artigos'!$I$2:$I$24,'Publicações país aplicação'!A7)</f>
        <v>12</v>
      </c>
    </row>
  </sheetData>
  <pageMargins left="0.511811024" right="0.511811024" top="0.78740157499999996" bottom="0.78740157499999996" header="0.31496062000000002" footer="0.31496062000000002"/>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D17A-9970-4008-BDED-1CB2D9A4967F}">
  <dimension ref="A1:V27"/>
  <sheetViews>
    <sheetView zoomScale="90" zoomScaleNormal="90" workbookViewId="0">
      <pane xSplit="4" ySplit="1" topLeftCell="E2" activePane="bottomRight" state="frozen"/>
      <selection pane="topRight" activeCell="E1" sqref="E1"/>
      <selection pane="bottomLeft" activeCell="A2" sqref="A2"/>
      <selection pane="bottomRight" activeCell="B2" sqref="B2"/>
    </sheetView>
  </sheetViews>
  <sheetFormatPr defaultRowHeight="15" x14ac:dyDescent="0.25"/>
  <cols>
    <col min="1" max="1" width="18.42578125" style="1" customWidth="1"/>
    <col min="2" max="2" width="47.28515625" style="1" customWidth="1"/>
    <col min="3" max="4" width="9.140625" style="1" hidden="1" customWidth="1"/>
    <col min="5" max="5" width="28.7109375" style="1" customWidth="1"/>
    <col min="6" max="6" width="16.140625" style="1" customWidth="1"/>
    <col min="7" max="7" width="28.5703125" style="1" customWidth="1"/>
    <col min="8" max="8" width="13.140625" style="1" bestFit="1" customWidth="1"/>
    <col min="9" max="9" width="33" style="1" customWidth="1"/>
    <col min="10" max="10" width="10.7109375" style="1" bestFit="1" customWidth="1"/>
    <col min="11" max="11" width="24.5703125" style="1" bestFit="1" customWidth="1"/>
    <col min="12" max="12" width="10.28515625" style="1" bestFit="1" customWidth="1"/>
    <col min="13" max="13" width="20.42578125" style="1" bestFit="1" customWidth="1"/>
    <col min="14" max="15" width="20.42578125" style="1" customWidth="1"/>
    <col min="16" max="16" width="28.42578125" style="1" customWidth="1"/>
    <col min="17" max="17" width="12.42578125" style="1" bestFit="1" customWidth="1"/>
    <col min="18" max="18" width="22.85546875" style="1" customWidth="1"/>
    <col min="19" max="19" width="38.140625" style="1" customWidth="1"/>
    <col min="20" max="20" width="9.140625" style="1"/>
    <col min="21" max="21" width="15.28515625" style="1" customWidth="1"/>
    <col min="22" max="16384" width="9.140625" style="1"/>
  </cols>
  <sheetData>
    <row r="1" spans="1:22" ht="30" x14ac:dyDescent="0.25">
      <c r="A1" s="11" t="s">
        <v>0</v>
      </c>
      <c r="B1" s="11" t="s">
        <v>1</v>
      </c>
      <c r="C1" s="11" t="s">
        <v>109</v>
      </c>
      <c r="D1" s="11" t="s">
        <v>133</v>
      </c>
      <c r="E1" s="11" t="s">
        <v>306</v>
      </c>
      <c r="F1" s="11" t="s">
        <v>487</v>
      </c>
      <c r="G1" s="11" t="s">
        <v>467</v>
      </c>
      <c r="H1" s="11" t="s">
        <v>488</v>
      </c>
      <c r="I1" s="11" t="s">
        <v>307</v>
      </c>
      <c r="J1" s="11" t="s">
        <v>489</v>
      </c>
      <c r="K1" s="11" t="s">
        <v>308</v>
      </c>
      <c r="L1" s="11" t="s">
        <v>490</v>
      </c>
      <c r="M1" s="11" t="s">
        <v>309</v>
      </c>
      <c r="N1" s="11" t="s">
        <v>491</v>
      </c>
      <c r="O1" s="11" t="s">
        <v>523</v>
      </c>
      <c r="P1" s="11" t="s">
        <v>310</v>
      </c>
      <c r="Q1" s="11" t="s">
        <v>492</v>
      </c>
      <c r="R1" s="11" t="s">
        <v>311</v>
      </c>
      <c r="S1" s="11" t="s">
        <v>312</v>
      </c>
    </row>
    <row r="2" spans="1:22" ht="60" customHeight="1" x14ac:dyDescent="0.25">
      <c r="A2" s="10" t="s">
        <v>67</v>
      </c>
      <c r="B2" s="1" t="s">
        <v>68</v>
      </c>
      <c r="C2" s="1" t="s">
        <v>115</v>
      </c>
      <c r="D2" s="1" t="s">
        <v>191</v>
      </c>
      <c r="E2" s="12" t="s">
        <v>313</v>
      </c>
      <c r="F2" s="12" t="s">
        <v>504</v>
      </c>
      <c r="G2" s="12" t="s">
        <v>314</v>
      </c>
      <c r="H2" s="12" t="s">
        <v>512</v>
      </c>
      <c r="I2" s="12" t="s">
        <v>315</v>
      </c>
      <c r="J2" s="12"/>
      <c r="K2" s="1" t="s">
        <v>316</v>
      </c>
      <c r="M2" s="12" t="s">
        <v>317</v>
      </c>
      <c r="N2" s="12" t="s">
        <v>511</v>
      </c>
      <c r="O2" s="12"/>
      <c r="P2" s="21" t="s">
        <v>318</v>
      </c>
      <c r="R2" s="1" t="s">
        <v>319</v>
      </c>
      <c r="S2" s="1" t="s">
        <v>320</v>
      </c>
      <c r="U2" s="20" t="s">
        <v>506</v>
      </c>
    </row>
    <row r="3" spans="1:22" ht="60" customHeight="1" x14ac:dyDescent="0.25">
      <c r="A3" s="10" t="s">
        <v>90</v>
      </c>
      <c r="B3" s="1" t="s">
        <v>91</v>
      </c>
      <c r="C3" s="1" t="s">
        <v>208</v>
      </c>
      <c r="D3" s="1" t="s">
        <v>209</v>
      </c>
      <c r="E3" s="12" t="s">
        <v>321</v>
      </c>
      <c r="F3" s="12" t="s">
        <v>481</v>
      </c>
      <c r="G3" s="12" t="s">
        <v>322</v>
      </c>
      <c r="H3" s="12"/>
      <c r="I3" s="12" t="s">
        <v>470</v>
      </c>
      <c r="J3" s="12"/>
      <c r="K3" s="1" t="s">
        <v>323</v>
      </c>
      <c r="M3" s="1" t="s">
        <v>324</v>
      </c>
      <c r="N3" s="12" t="s">
        <v>514</v>
      </c>
      <c r="O3" s="12"/>
      <c r="P3" s="19" t="s">
        <v>513</v>
      </c>
      <c r="T3" s="20" t="s">
        <v>325</v>
      </c>
    </row>
    <row r="4" spans="1:22" ht="60" customHeight="1" x14ac:dyDescent="0.25">
      <c r="A4" s="10" t="s">
        <v>5</v>
      </c>
      <c r="B4" s="1" t="s">
        <v>6</v>
      </c>
      <c r="C4" s="1" t="s">
        <v>112</v>
      </c>
      <c r="D4" s="1" t="s">
        <v>135</v>
      </c>
      <c r="E4" s="12" t="s">
        <v>326</v>
      </c>
      <c r="F4" s="12" t="s">
        <v>509</v>
      </c>
      <c r="G4" s="12" t="s">
        <v>327</v>
      </c>
      <c r="H4" s="12"/>
      <c r="I4" s="12" t="s">
        <v>328</v>
      </c>
      <c r="J4" s="12"/>
      <c r="K4" s="12" t="s">
        <v>329</v>
      </c>
      <c r="L4" s="12"/>
      <c r="M4" s="12" t="s">
        <v>330</v>
      </c>
      <c r="N4" s="12" t="s">
        <v>515</v>
      </c>
      <c r="O4" s="12"/>
      <c r="P4" s="21" t="s">
        <v>331</v>
      </c>
      <c r="R4" s="1" t="s">
        <v>332</v>
      </c>
    </row>
    <row r="5" spans="1:22" ht="60" customHeight="1" x14ac:dyDescent="0.25">
      <c r="A5" s="10" t="s">
        <v>250</v>
      </c>
      <c r="B5" s="1" t="s">
        <v>18</v>
      </c>
      <c r="C5" s="1" t="s">
        <v>116</v>
      </c>
      <c r="D5" s="1" t="s">
        <v>145</v>
      </c>
      <c r="E5" s="12" t="s">
        <v>333</v>
      </c>
      <c r="F5" s="12" t="s">
        <v>480</v>
      </c>
      <c r="G5" s="13" t="s">
        <v>469</v>
      </c>
      <c r="H5" s="13"/>
      <c r="I5" s="13" t="s">
        <v>468</v>
      </c>
      <c r="J5" s="13"/>
      <c r="K5" s="12" t="s">
        <v>334</v>
      </c>
      <c r="L5" s="12"/>
      <c r="M5" s="1" t="s">
        <v>324</v>
      </c>
      <c r="N5" s="12" t="s">
        <v>517</v>
      </c>
      <c r="O5" s="12"/>
      <c r="P5" s="21" t="s">
        <v>516</v>
      </c>
      <c r="R5" s="1" t="s">
        <v>335</v>
      </c>
      <c r="S5" s="12" t="s">
        <v>336</v>
      </c>
    </row>
    <row r="6" spans="1:22" ht="60" customHeight="1" x14ac:dyDescent="0.25">
      <c r="A6" s="1" t="s">
        <v>15</v>
      </c>
      <c r="B6" s="15" t="s">
        <v>159</v>
      </c>
      <c r="C6" s="1" t="s">
        <v>160</v>
      </c>
      <c r="D6" s="1" t="s">
        <v>161</v>
      </c>
      <c r="E6" s="12" t="s">
        <v>337</v>
      </c>
      <c r="F6" s="12"/>
      <c r="G6" s="13" t="s">
        <v>338</v>
      </c>
      <c r="H6" s="13"/>
      <c r="I6" s="12" t="s">
        <v>471</v>
      </c>
      <c r="J6" s="12"/>
      <c r="K6" s="12" t="s">
        <v>339</v>
      </c>
      <c r="L6" s="12"/>
      <c r="M6" s="1" t="s">
        <v>340</v>
      </c>
      <c r="P6" s="12" t="s">
        <v>341</v>
      </c>
      <c r="Q6" s="12"/>
      <c r="R6" s="12" t="s">
        <v>342</v>
      </c>
      <c r="S6" s="12" t="s">
        <v>343</v>
      </c>
      <c r="T6" s="1" t="s">
        <v>344</v>
      </c>
      <c r="U6" s="14" t="s">
        <v>345</v>
      </c>
      <c r="V6" s="1" t="s">
        <v>505</v>
      </c>
    </row>
    <row r="7" spans="1:22" ht="60" customHeight="1" x14ac:dyDescent="0.25">
      <c r="A7" s="10" t="s">
        <v>15</v>
      </c>
      <c r="B7" s="14" t="s">
        <v>33</v>
      </c>
      <c r="C7" s="1" t="s">
        <v>110</v>
      </c>
      <c r="D7" s="1" t="s">
        <v>163</v>
      </c>
      <c r="E7" s="12" t="s">
        <v>346</v>
      </c>
      <c r="F7" s="12" t="s">
        <v>481</v>
      </c>
      <c r="G7" s="12" t="s">
        <v>347</v>
      </c>
      <c r="H7" s="12"/>
      <c r="I7" s="13" t="s">
        <v>338</v>
      </c>
      <c r="J7" s="13"/>
      <c r="K7" s="12" t="s">
        <v>339</v>
      </c>
      <c r="L7" s="12"/>
      <c r="M7" s="1" t="s">
        <v>340</v>
      </c>
      <c r="N7" s="12" t="s">
        <v>518</v>
      </c>
      <c r="O7" s="12"/>
      <c r="P7" s="19" t="s">
        <v>348</v>
      </c>
      <c r="Q7" s="12"/>
      <c r="R7" s="12" t="s">
        <v>342</v>
      </c>
      <c r="T7" s="1" t="s">
        <v>344</v>
      </c>
      <c r="U7" s="14" t="s">
        <v>345</v>
      </c>
      <c r="V7" s="20" t="s">
        <v>548</v>
      </c>
    </row>
    <row r="8" spans="1:22" ht="60" customHeight="1" x14ac:dyDescent="0.25">
      <c r="A8" s="10" t="s">
        <v>96</v>
      </c>
      <c r="B8" s="1" t="s">
        <v>97</v>
      </c>
      <c r="C8" s="1" t="s">
        <v>212</v>
      </c>
      <c r="D8" s="1" t="s">
        <v>213</v>
      </c>
      <c r="E8" s="12" t="s">
        <v>349</v>
      </c>
      <c r="F8" s="12" t="s">
        <v>483</v>
      </c>
      <c r="G8" s="19" t="s">
        <v>497</v>
      </c>
      <c r="H8" s="12"/>
      <c r="I8" s="12" t="s">
        <v>472</v>
      </c>
      <c r="J8" s="12"/>
      <c r="K8" s="12" t="s">
        <v>473</v>
      </c>
      <c r="L8" s="12"/>
      <c r="M8" s="12" t="s">
        <v>351</v>
      </c>
      <c r="N8" s="12" t="s">
        <v>493</v>
      </c>
      <c r="O8" s="12"/>
      <c r="P8" s="19" t="s">
        <v>352</v>
      </c>
      <c r="Q8" s="12"/>
      <c r="S8" s="12" t="s">
        <v>353</v>
      </c>
      <c r="T8" s="1" t="s">
        <v>354</v>
      </c>
    </row>
    <row r="9" spans="1:22" ht="60" customHeight="1" x14ac:dyDescent="0.25">
      <c r="A9" s="10" t="s">
        <v>12</v>
      </c>
      <c r="B9" s="1" t="s">
        <v>13</v>
      </c>
      <c r="C9" s="1" t="s">
        <v>122</v>
      </c>
      <c r="D9" s="1" t="s">
        <v>141</v>
      </c>
      <c r="E9" s="12" t="s">
        <v>355</v>
      </c>
      <c r="F9" s="12" t="s">
        <v>483</v>
      </c>
      <c r="G9" s="19" t="s">
        <v>496</v>
      </c>
      <c r="H9" s="12"/>
      <c r="I9" s="12" t="s">
        <v>356</v>
      </c>
      <c r="J9" s="12" t="s">
        <v>486</v>
      </c>
      <c r="K9" s="19" t="s">
        <v>357</v>
      </c>
      <c r="L9" s="12"/>
      <c r="M9" s="1" t="s">
        <v>340</v>
      </c>
      <c r="N9" s="12" t="s">
        <v>494</v>
      </c>
      <c r="O9" s="12"/>
      <c r="P9" s="19" t="s">
        <v>495</v>
      </c>
      <c r="Q9" s="12"/>
      <c r="R9" s="12" t="s">
        <v>358</v>
      </c>
    </row>
    <row r="10" spans="1:22" ht="60" customHeight="1" x14ac:dyDescent="0.25">
      <c r="A10" s="10" t="s">
        <v>15</v>
      </c>
      <c r="B10" s="1" t="s">
        <v>16</v>
      </c>
      <c r="C10" s="1" t="s">
        <v>142</v>
      </c>
      <c r="D10" s="1" t="s">
        <v>143</v>
      </c>
      <c r="E10" s="12" t="s">
        <v>359</v>
      </c>
      <c r="F10" s="13" t="s">
        <v>480</v>
      </c>
      <c r="G10" s="13" t="s">
        <v>360</v>
      </c>
      <c r="H10" s="12"/>
      <c r="K10" s="13" t="s">
        <v>361</v>
      </c>
      <c r="L10" s="13"/>
      <c r="M10" s="1" t="s">
        <v>340</v>
      </c>
      <c r="N10" s="12" t="s">
        <v>519</v>
      </c>
      <c r="O10" s="12"/>
      <c r="P10" s="19" t="s">
        <v>362</v>
      </c>
      <c r="Q10" s="12" t="s">
        <v>499</v>
      </c>
      <c r="R10" s="12" t="s">
        <v>498</v>
      </c>
      <c r="S10" s="1" t="s">
        <v>364</v>
      </c>
    </row>
    <row r="11" spans="1:22" ht="60" customHeight="1" x14ac:dyDescent="0.25">
      <c r="A11" s="1" t="s">
        <v>44</v>
      </c>
      <c r="B11" s="15" t="s">
        <v>45</v>
      </c>
      <c r="C11" s="1" t="s">
        <v>121</v>
      </c>
      <c r="D11" s="1" t="s">
        <v>174</v>
      </c>
      <c r="E11" s="12" t="s">
        <v>365</v>
      </c>
      <c r="F11" s="12"/>
      <c r="I11" s="13" t="s">
        <v>366</v>
      </c>
      <c r="J11" s="13"/>
      <c r="M11" s="12" t="s">
        <v>367</v>
      </c>
      <c r="N11" s="12"/>
      <c r="O11" s="12"/>
      <c r="S11" s="1" t="s">
        <v>484</v>
      </c>
    </row>
    <row r="12" spans="1:22" ht="60" customHeight="1" x14ac:dyDescent="0.25">
      <c r="A12" s="10" t="s">
        <v>61</v>
      </c>
      <c r="B12" s="1" t="s">
        <v>62</v>
      </c>
      <c r="C12" s="1" t="s">
        <v>123</v>
      </c>
      <c r="D12" s="1" t="s">
        <v>187</v>
      </c>
      <c r="E12" s="12" t="s">
        <v>368</v>
      </c>
      <c r="F12" s="12" t="s">
        <v>481</v>
      </c>
      <c r="G12" s="19" t="s">
        <v>369</v>
      </c>
      <c r="H12" s="12"/>
      <c r="I12" s="12" t="s">
        <v>471</v>
      </c>
      <c r="J12" s="12"/>
      <c r="K12" s="12" t="s">
        <v>370</v>
      </c>
      <c r="L12" s="12"/>
      <c r="M12" s="12" t="s">
        <v>474</v>
      </c>
      <c r="N12" s="12" t="s">
        <v>521</v>
      </c>
      <c r="O12" s="12"/>
      <c r="P12" s="19" t="s">
        <v>520</v>
      </c>
      <c r="Q12" s="12"/>
      <c r="S12" s="1" t="s">
        <v>371</v>
      </c>
    </row>
    <row r="13" spans="1:22" ht="60" customHeight="1" x14ac:dyDescent="0.25">
      <c r="A13" s="10" t="s">
        <v>41</v>
      </c>
      <c r="B13" s="1" t="s">
        <v>42</v>
      </c>
      <c r="C13" s="1" t="s">
        <v>113</v>
      </c>
      <c r="D13" s="1" t="s">
        <v>172</v>
      </c>
      <c r="E13" s="12" t="s">
        <v>372</v>
      </c>
      <c r="F13" s="12" t="s">
        <v>481</v>
      </c>
      <c r="G13" s="19" t="s">
        <v>350</v>
      </c>
      <c r="H13" s="12" t="s">
        <v>502</v>
      </c>
      <c r="I13" s="19" t="s">
        <v>373</v>
      </c>
      <c r="J13" s="12" t="s">
        <v>501</v>
      </c>
      <c r="K13" s="12" t="s">
        <v>374</v>
      </c>
      <c r="L13" s="12"/>
      <c r="M13" s="12" t="s">
        <v>375</v>
      </c>
      <c r="N13" s="12" t="s">
        <v>500</v>
      </c>
      <c r="O13" s="12"/>
      <c r="P13" s="19" t="s">
        <v>376</v>
      </c>
      <c r="Q13" s="13" t="s">
        <v>363</v>
      </c>
      <c r="R13" s="12" t="s">
        <v>377</v>
      </c>
    </row>
    <row r="14" spans="1:22" ht="60" customHeight="1" x14ac:dyDescent="0.25">
      <c r="A14" s="10" t="s">
        <v>72</v>
      </c>
      <c r="B14" s="1" t="s">
        <v>73</v>
      </c>
      <c r="C14" s="1" t="s">
        <v>195</v>
      </c>
      <c r="D14" s="1" t="s">
        <v>196</v>
      </c>
      <c r="E14" s="12" t="s">
        <v>378</v>
      </c>
      <c r="F14" s="12" t="s">
        <v>507</v>
      </c>
      <c r="G14" s="12" t="s">
        <v>475</v>
      </c>
      <c r="H14" s="12"/>
      <c r="I14" s="12" t="s">
        <v>476</v>
      </c>
      <c r="J14" s="12"/>
      <c r="K14" s="12" t="s">
        <v>379</v>
      </c>
      <c r="L14" s="12"/>
      <c r="M14" s="12" t="s">
        <v>380</v>
      </c>
      <c r="N14" s="12" t="s">
        <v>522</v>
      </c>
      <c r="O14" s="12" t="s">
        <v>524</v>
      </c>
      <c r="P14" s="19" t="s">
        <v>381</v>
      </c>
      <c r="Q14" s="12"/>
      <c r="R14" s="12" t="s">
        <v>382</v>
      </c>
    </row>
    <row r="15" spans="1:22" ht="60" customHeight="1" x14ac:dyDescent="0.25">
      <c r="A15" s="10" t="s">
        <v>223</v>
      </c>
      <c r="B15" s="1" t="s">
        <v>20</v>
      </c>
      <c r="C15" s="1" t="s">
        <v>147</v>
      </c>
      <c r="D15" s="1" t="s">
        <v>148</v>
      </c>
      <c r="E15" s="12" t="s">
        <v>383</v>
      </c>
      <c r="F15" s="12" t="s">
        <v>481</v>
      </c>
      <c r="G15" s="12" t="s">
        <v>384</v>
      </c>
      <c r="H15" s="12"/>
      <c r="I15" s="12" t="s">
        <v>385</v>
      </c>
      <c r="J15" s="12"/>
      <c r="K15" s="12" t="s">
        <v>386</v>
      </c>
      <c r="L15" s="12"/>
      <c r="M15" s="12" t="s">
        <v>387</v>
      </c>
      <c r="N15" s="12" t="s">
        <v>525</v>
      </c>
      <c r="O15" s="12"/>
      <c r="P15" s="19" t="s">
        <v>388</v>
      </c>
      <c r="Q15" s="12"/>
      <c r="R15" s="12" t="s">
        <v>389</v>
      </c>
    </row>
    <row r="16" spans="1:22" ht="60" customHeight="1" x14ac:dyDescent="0.25">
      <c r="A16" s="10" t="s">
        <v>221</v>
      </c>
      <c r="B16" s="1" t="s">
        <v>99</v>
      </c>
      <c r="C16" s="1" t="s">
        <v>111</v>
      </c>
      <c r="D16" s="1" t="s">
        <v>215</v>
      </c>
      <c r="E16" s="12" t="s">
        <v>390</v>
      </c>
      <c r="F16" s="12" t="s">
        <v>508</v>
      </c>
      <c r="G16" s="12" t="s">
        <v>391</v>
      </c>
      <c r="H16" s="12"/>
      <c r="I16" s="18" t="s">
        <v>477</v>
      </c>
      <c r="J16" s="18"/>
      <c r="K16" s="12" t="s">
        <v>392</v>
      </c>
      <c r="L16" s="12"/>
      <c r="M16" s="12" t="s">
        <v>393</v>
      </c>
      <c r="N16" s="12" t="s">
        <v>526</v>
      </c>
      <c r="O16" s="12"/>
      <c r="P16" s="19" t="s">
        <v>527</v>
      </c>
      <c r="Q16" s="12"/>
      <c r="R16" s="12" t="s">
        <v>394</v>
      </c>
      <c r="S16" s="16" t="s">
        <v>395</v>
      </c>
      <c r="T16" s="1" t="s">
        <v>396</v>
      </c>
      <c r="U16" s="13" t="s">
        <v>397</v>
      </c>
    </row>
    <row r="17" spans="1:21" ht="60" customHeight="1" x14ac:dyDescent="0.25">
      <c r="A17" s="10" t="s">
        <v>81</v>
      </c>
      <c r="B17" s="1" t="s">
        <v>82</v>
      </c>
      <c r="C17" s="1" t="s">
        <v>201</v>
      </c>
      <c r="D17" s="1" t="s">
        <v>202</v>
      </c>
      <c r="E17" s="12" t="s">
        <v>398</v>
      </c>
      <c r="F17" s="12" t="s">
        <v>485</v>
      </c>
      <c r="G17" s="12" t="s">
        <v>399</v>
      </c>
      <c r="H17" s="12"/>
      <c r="I17" s="12" t="s">
        <v>400</v>
      </c>
      <c r="J17" s="12"/>
      <c r="K17" s="12" t="s">
        <v>401</v>
      </c>
      <c r="L17" s="12"/>
      <c r="M17" s="12" t="s">
        <v>402</v>
      </c>
      <c r="N17" s="12" t="s">
        <v>528</v>
      </c>
      <c r="O17" s="12"/>
      <c r="P17" s="19" t="s">
        <v>529</v>
      </c>
      <c r="Q17" s="12"/>
      <c r="R17" s="12" t="s">
        <v>403</v>
      </c>
    </row>
    <row r="18" spans="1:21" ht="60" customHeight="1" x14ac:dyDescent="0.25">
      <c r="A18" s="10" t="s">
        <v>57</v>
      </c>
      <c r="B18" s="1" t="s">
        <v>58</v>
      </c>
      <c r="C18" s="1" t="s">
        <v>117</v>
      </c>
      <c r="D18" s="1" t="s">
        <v>185</v>
      </c>
      <c r="E18" s="12" t="s">
        <v>404</v>
      </c>
      <c r="F18" s="12" t="s">
        <v>481</v>
      </c>
      <c r="G18" s="12" t="s">
        <v>405</v>
      </c>
      <c r="H18" s="12"/>
      <c r="I18" s="12" t="s">
        <v>406</v>
      </c>
      <c r="J18" s="12"/>
      <c r="M18" s="12" t="s">
        <v>407</v>
      </c>
      <c r="N18" s="12" t="s">
        <v>530</v>
      </c>
      <c r="O18" s="12"/>
      <c r="P18" s="19" t="s">
        <v>408</v>
      </c>
      <c r="Q18" s="12"/>
      <c r="R18" s="12" t="s">
        <v>409</v>
      </c>
    </row>
    <row r="19" spans="1:21" ht="60" customHeight="1" x14ac:dyDescent="0.25">
      <c r="A19" s="10" t="s">
        <v>64</v>
      </c>
      <c r="B19" s="1" t="s">
        <v>65</v>
      </c>
      <c r="C19" s="1" t="s">
        <v>124</v>
      </c>
      <c r="D19" s="1" t="s">
        <v>189</v>
      </c>
      <c r="E19" s="12" t="s">
        <v>410</v>
      </c>
      <c r="F19" s="12" t="s">
        <v>483</v>
      </c>
      <c r="G19" s="12" t="s">
        <v>411</v>
      </c>
      <c r="H19" s="12"/>
      <c r="I19" s="12" t="s">
        <v>412</v>
      </c>
      <c r="J19" s="12"/>
      <c r="K19" s="12" t="s">
        <v>413</v>
      </c>
      <c r="L19" s="12"/>
      <c r="M19" s="12" t="s">
        <v>414</v>
      </c>
      <c r="N19" s="12" t="s">
        <v>531</v>
      </c>
      <c r="O19" s="12"/>
      <c r="P19" s="19" t="s">
        <v>415</v>
      </c>
      <c r="Q19" s="12"/>
      <c r="R19" s="12" t="s">
        <v>416</v>
      </c>
      <c r="S19" s="1" t="s">
        <v>417</v>
      </c>
    </row>
    <row r="20" spans="1:21" ht="60" customHeight="1" x14ac:dyDescent="0.25">
      <c r="A20" s="10" t="s">
        <v>223</v>
      </c>
      <c r="B20" s="1" t="s">
        <v>55</v>
      </c>
      <c r="C20" s="1" t="s">
        <v>182</v>
      </c>
      <c r="D20" s="1" t="s">
        <v>183</v>
      </c>
      <c r="E20" s="12" t="s">
        <v>418</v>
      </c>
      <c r="F20" s="12" t="s">
        <v>481</v>
      </c>
      <c r="G20" s="12" t="s">
        <v>419</v>
      </c>
      <c r="H20" s="12"/>
      <c r="I20" s="12" t="s">
        <v>420</v>
      </c>
      <c r="J20" s="12"/>
      <c r="K20" s="12" t="s">
        <v>421</v>
      </c>
      <c r="L20" s="12"/>
      <c r="M20" s="12" t="s">
        <v>422</v>
      </c>
      <c r="N20" s="12" t="s">
        <v>532</v>
      </c>
      <c r="O20" s="12"/>
      <c r="P20" s="19" t="s">
        <v>423</v>
      </c>
      <c r="Q20" s="12"/>
      <c r="R20" s="12" t="s">
        <v>424</v>
      </c>
    </row>
    <row r="21" spans="1:21" ht="60" customHeight="1" x14ac:dyDescent="0.25">
      <c r="A21" s="10" t="s">
        <v>52</v>
      </c>
      <c r="B21" s="1" t="s">
        <v>53</v>
      </c>
      <c r="C21" s="1" t="s">
        <v>114</v>
      </c>
      <c r="D21" s="1" t="s">
        <v>181</v>
      </c>
      <c r="E21" s="12" t="s">
        <v>425</v>
      </c>
      <c r="F21" s="12" t="s">
        <v>510</v>
      </c>
      <c r="G21" s="12" t="s">
        <v>478</v>
      </c>
      <c r="H21" s="12"/>
      <c r="I21" s="12" t="s">
        <v>427</v>
      </c>
      <c r="J21" s="12"/>
      <c r="K21" s="12" t="s">
        <v>428</v>
      </c>
      <c r="L21" s="12"/>
      <c r="M21" s="12" t="s">
        <v>429</v>
      </c>
      <c r="N21" s="12" t="s">
        <v>533</v>
      </c>
      <c r="O21" s="12"/>
      <c r="P21" s="19" t="s">
        <v>430</v>
      </c>
      <c r="Q21" s="12"/>
      <c r="R21" s="12" t="s">
        <v>431</v>
      </c>
      <c r="S21" s="12" t="s">
        <v>432</v>
      </c>
    </row>
    <row r="22" spans="1:21" ht="60" customHeight="1" x14ac:dyDescent="0.25">
      <c r="A22" s="10" t="s">
        <v>15</v>
      </c>
      <c r="B22" s="1" t="s">
        <v>164</v>
      </c>
      <c r="C22" s="1" t="s">
        <v>165</v>
      </c>
      <c r="D22" s="1" t="s">
        <v>166</v>
      </c>
      <c r="E22" s="12" t="s">
        <v>433</v>
      </c>
      <c r="F22" s="12" t="s">
        <v>481</v>
      </c>
      <c r="G22" s="12" t="s">
        <v>434</v>
      </c>
      <c r="H22" s="12"/>
      <c r="K22" s="12"/>
      <c r="L22" s="12"/>
      <c r="M22" s="12" t="s">
        <v>435</v>
      </c>
      <c r="N22" s="12" t="s">
        <v>534</v>
      </c>
      <c r="O22" s="12"/>
      <c r="P22" s="19" t="s">
        <v>436</v>
      </c>
      <c r="Q22" s="12"/>
      <c r="R22" s="12" t="s">
        <v>437</v>
      </c>
      <c r="S22" s="12" t="s">
        <v>438</v>
      </c>
      <c r="T22" s="12" t="s">
        <v>439</v>
      </c>
      <c r="U22" s="12" t="s">
        <v>440</v>
      </c>
    </row>
    <row r="23" spans="1:21" ht="60" customHeight="1" x14ac:dyDescent="0.25">
      <c r="A23" s="10" t="s">
        <v>223</v>
      </c>
      <c r="B23" s="1" t="s">
        <v>22</v>
      </c>
      <c r="C23" s="1" t="s">
        <v>150</v>
      </c>
      <c r="D23" s="1" t="s">
        <v>151</v>
      </c>
      <c r="E23" s="12" t="s">
        <v>441</v>
      </c>
      <c r="F23" s="12" t="s">
        <v>481</v>
      </c>
      <c r="G23" s="12" t="s">
        <v>426</v>
      </c>
      <c r="H23" s="12"/>
      <c r="I23" s="12" t="s">
        <v>442</v>
      </c>
      <c r="J23" s="12"/>
      <c r="K23" s="12" t="s">
        <v>443</v>
      </c>
      <c r="L23" s="12"/>
      <c r="M23" s="12" t="s">
        <v>444</v>
      </c>
      <c r="N23" s="12" t="s">
        <v>535</v>
      </c>
      <c r="O23" s="12"/>
      <c r="P23" s="19" t="s">
        <v>445</v>
      </c>
      <c r="Q23" s="12"/>
      <c r="R23" s="12" t="s">
        <v>446</v>
      </c>
    </row>
    <row r="24" spans="1:21" ht="60" customHeight="1" x14ac:dyDescent="0.25">
      <c r="A24" s="10" t="s">
        <v>24</v>
      </c>
      <c r="B24" s="1" t="s">
        <v>25</v>
      </c>
      <c r="C24" s="1" t="s">
        <v>153</v>
      </c>
      <c r="D24" s="1" t="s">
        <v>154</v>
      </c>
      <c r="E24" s="12" t="s">
        <v>447</v>
      </c>
      <c r="F24" s="12" t="s">
        <v>509</v>
      </c>
      <c r="G24" s="12" t="s">
        <v>448</v>
      </c>
      <c r="H24" s="12"/>
      <c r="I24" s="12" t="s">
        <v>449</v>
      </c>
      <c r="J24" s="12"/>
      <c r="K24" s="12" t="s">
        <v>450</v>
      </c>
      <c r="L24" s="12"/>
      <c r="M24" s="12" t="s">
        <v>451</v>
      </c>
      <c r="N24" s="12" t="s">
        <v>536</v>
      </c>
      <c r="O24" s="12"/>
      <c r="P24" s="19" t="s">
        <v>452</v>
      </c>
      <c r="Q24" s="12"/>
      <c r="R24" s="12" t="s">
        <v>453</v>
      </c>
      <c r="S24" s="12" t="s">
        <v>454</v>
      </c>
    </row>
    <row r="25" spans="1:21" ht="60" customHeight="1" x14ac:dyDescent="0.25">
      <c r="A25" s="10" t="s">
        <v>84</v>
      </c>
      <c r="B25" s="1" t="s">
        <v>85</v>
      </c>
      <c r="C25" s="1" t="s">
        <v>120</v>
      </c>
      <c r="D25" s="1" t="s">
        <v>203</v>
      </c>
      <c r="E25" s="12" t="s">
        <v>455</v>
      </c>
      <c r="F25" s="12" t="s">
        <v>507</v>
      </c>
      <c r="G25" s="12" t="s">
        <v>456</v>
      </c>
      <c r="H25" s="12"/>
      <c r="I25" s="12" t="s">
        <v>479</v>
      </c>
      <c r="J25" s="12"/>
      <c r="K25" s="12" t="s">
        <v>457</v>
      </c>
      <c r="L25" s="12"/>
      <c r="M25" s="12" t="s">
        <v>458</v>
      </c>
      <c r="N25" s="12" t="s">
        <v>521</v>
      </c>
      <c r="O25" s="12" t="s">
        <v>538</v>
      </c>
      <c r="P25" s="19" t="s">
        <v>537</v>
      </c>
      <c r="Q25" s="12"/>
    </row>
    <row r="26" spans="1:21" ht="60" customHeight="1" x14ac:dyDescent="0.25">
      <c r="A26" s="10" t="s">
        <v>15</v>
      </c>
      <c r="B26" s="1" t="s">
        <v>70</v>
      </c>
      <c r="C26" s="1" t="s">
        <v>192</v>
      </c>
      <c r="D26" s="1" t="s">
        <v>193</v>
      </c>
      <c r="E26" s="12" t="s">
        <v>459</v>
      </c>
      <c r="F26" s="12" t="s">
        <v>482</v>
      </c>
      <c r="G26" s="12" t="s">
        <v>460</v>
      </c>
      <c r="H26" s="12"/>
      <c r="I26" s="12" t="s">
        <v>461</v>
      </c>
      <c r="J26" s="12"/>
      <c r="K26" s="12" t="s">
        <v>462</v>
      </c>
      <c r="L26" s="12"/>
      <c r="M26" s="12" t="s">
        <v>463</v>
      </c>
      <c r="N26" s="12" t="s">
        <v>541</v>
      </c>
      <c r="O26" s="12" t="s">
        <v>539</v>
      </c>
      <c r="P26" s="19" t="s">
        <v>540</v>
      </c>
      <c r="Q26" s="12"/>
      <c r="R26" s="12" t="s">
        <v>464</v>
      </c>
    </row>
    <row r="27" spans="1:21" ht="75" x14ac:dyDescent="0.25">
      <c r="A27" s="1" t="s">
        <v>465</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C1DF-F5F7-49F1-98E2-C5733162AC72}">
  <dimension ref="A1:F48"/>
  <sheetViews>
    <sheetView zoomScaleNormal="100" workbookViewId="0">
      <selection activeCell="E1" sqref="E1"/>
    </sheetView>
  </sheetViews>
  <sheetFormatPr defaultRowHeight="15" x14ac:dyDescent="0.25"/>
  <cols>
    <col min="1" max="1" width="43.85546875" bestFit="1" customWidth="1"/>
    <col min="2" max="2" width="15.85546875" bestFit="1" customWidth="1"/>
    <col min="3" max="3" width="15.7109375" bestFit="1" customWidth="1"/>
    <col min="4" max="4" width="11.28515625" customWidth="1"/>
    <col min="5" max="5" width="36" bestFit="1" customWidth="1"/>
    <col min="6" max="6" width="15" bestFit="1" customWidth="1"/>
  </cols>
  <sheetData>
    <row r="1" spans="1:6" x14ac:dyDescent="0.25">
      <c r="A1" s="6" t="s">
        <v>224</v>
      </c>
      <c r="B1" s="6" t="s">
        <v>234</v>
      </c>
      <c r="C1" t="s">
        <v>235</v>
      </c>
      <c r="E1" s="23" t="s">
        <v>224</v>
      </c>
      <c r="F1" s="23" t="s">
        <v>225</v>
      </c>
    </row>
    <row r="2" spans="1:6" x14ac:dyDescent="0.25">
      <c r="A2" t="s">
        <v>264</v>
      </c>
      <c r="B2" t="s">
        <v>227</v>
      </c>
      <c r="C2">
        <v>8</v>
      </c>
      <c r="E2" s="7" t="s">
        <v>556</v>
      </c>
      <c r="F2">
        <v>1</v>
      </c>
    </row>
    <row r="3" spans="1:6" x14ac:dyDescent="0.25">
      <c r="A3" t="s">
        <v>271</v>
      </c>
      <c r="B3" t="s">
        <v>227</v>
      </c>
      <c r="C3">
        <v>5</v>
      </c>
      <c r="E3" s="7" t="s">
        <v>243</v>
      </c>
      <c r="F3">
        <v>2</v>
      </c>
    </row>
    <row r="4" spans="1:6" x14ac:dyDescent="0.25">
      <c r="A4" t="s">
        <v>278</v>
      </c>
      <c r="B4" t="s">
        <v>227</v>
      </c>
      <c r="C4">
        <v>3</v>
      </c>
      <c r="E4" s="7" t="s">
        <v>244</v>
      </c>
      <c r="F4">
        <v>2</v>
      </c>
    </row>
    <row r="5" spans="1:6" x14ac:dyDescent="0.25">
      <c r="A5" t="s">
        <v>267</v>
      </c>
      <c r="B5" t="s">
        <v>229</v>
      </c>
      <c r="C5">
        <v>2</v>
      </c>
      <c r="E5" s="7" t="s">
        <v>248</v>
      </c>
      <c r="F5">
        <v>2</v>
      </c>
    </row>
    <row r="6" spans="1:6" x14ac:dyDescent="0.25">
      <c r="A6" t="s">
        <v>262</v>
      </c>
      <c r="B6" t="s">
        <v>227</v>
      </c>
      <c r="C6">
        <v>2</v>
      </c>
      <c r="E6" s="7" t="s">
        <v>242</v>
      </c>
      <c r="F6">
        <v>2</v>
      </c>
    </row>
    <row r="7" spans="1:6" x14ac:dyDescent="0.25">
      <c r="A7" t="s">
        <v>268</v>
      </c>
      <c r="B7" t="s">
        <v>229</v>
      </c>
      <c r="C7">
        <v>2</v>
      </c>
      <c r="E7" s="7" t="s">
        <v>249</v>
      </c>
      <c r="F7">
        <v>2</v>
      </c>
    </row>
    <row r="8" spans="1:6" x14ac:dyDescent="0.25">
      <c r="A8" t="s">
        <v>269</v>
      </c>
      <c r="B8" t="s">
        <v>229</v>
      </c>
      <c r="C8">
        <v>2</v>
      </c>
      <c r="E8" s="7" t="s">
        <v>239</v>
      </c>
      <c r="F8">
        <v>2</v>
      </c>
    </row>
    <row r="9" spans="1:6" x14ac:dyDescent="0.25">
      <c r="A9" t="s">
        <v>261</v>
      </c>
      <c r="B9" t="s">
        <v>227</v>
      </c>
      <c r="C9">
        <v>2</v>
      </c>
      <c r="E9" t="s">
        <v>252</v>
      </c>
      <c r="F9">
        <v>2</v>
      </c>
    </row>
    <row r="10" spans="1:6" x14ac:dyDescent="0.25">
      <c r="A10" t="s">
        <v>283</v>
      </c>
      <c r="B10" t="s">
        <v>232</v>
      </c>
      <c r="C10">
        <v>2</v>
      </c>
      <c r="E10" s="7" t="s">
        <v>240</v>
      </c>
      <c r="F10">
        <v>2</v>
      </c>
    </row>
    <row r="11" spans="1:6" x14ac:dyDescent="0.25">
      <c r="A11" t="s">
        <v>285</v>
      </c>
      <c r="B11" t="s">
        <v>232</v>
      </c>
      <c r="C11">
        <v>2</v>
      </c>
      <c r="E11" s="7" t="s">
        <v>241</v>
      </c>
      <c r="F11">
        <v>2</v>
      </c>
    </row>
    <row r="12" spans="1:6" x14ac:dyDescent="0.25">
      <c r="A12" t="s">
        <v>265</v>
      </c>
      <c r="B12" t="s">
        <v>229</v>
      </c>
      <c r="C12">
        <v>2</v>
      </c>
      <c r="E12" s="7" t="s">
        <v>247</v>
      </c>
      <c r="F12">
        <v>3</v>
      </c>
    </row>
    <row r="13" spans="1:6" x14ac:dyDescent="0.25">
      <c r="A13" t="s">
        <v>253</v>
      </c>
      <c r="B13" t="s">
        <v>227</v>
      </c>
      <c r="C13">
        <v>2</v>
      </c>
      <c r="E13" s="7" t="s">
        <v>246</v>
      </c>
      <c r="F13">
        <v>5</v>
      </c>
    </row>
    <row r="14" spans="1:6" x14ac:dyDescent="0.25">
      <c r="A14" t="s">
        <v>298</v>
      </c>
      <c r="B14" t="s">
        <v>232</v>
      </c>
      <c r="C14">
        <v>1</v>
      </c>
      <c r="E14" s="7" t="s">
        <v>245</v>
      </c>
      <c r="F14">
        <v>8</v>
      </c>
    </row>
    <row r="15" spans="1:6" x14ac:dyDescent="0.25">
      <c r="A15" t="s">
        <v>290</v>
      </c>
      <c r="B15" t="s">
        <v>231</v>
      </c>
      <c r="C15">
        <v>1</v>
      </c>
    </row>
    <row r="16" spans="1:6" x14ac:dyDescent="0.25">
      <c r="A16" t="s">
        <v>286</v>
      </c>
      <c r="B16" t="s">
        <v>231</v>
      </c>
      <c r="C16">
        <v>1</v>
      </c>
    </row>
    <row r="17" spans="1:3" x14ac:dyDescent="0.25">
      <c r="A17" t="s">
        <v>254</v>
      </c>
      <c r="B17" t="s">
        <v>256</v>
      </c>
      <c r="C17">
        <v>1</v>
      </c>
    </row>
    <row r="18" spans="1:3" x14ac:dyDescent="0.25">
      <c r="A18" t="s">
        <v>294</v>
      </c>
      <c r="B18" t="s">
        <v>227</v>
      </c>
      <c r="C18">
        <v>1</v>
      </c>
    </row>
    <row r="19" spans="1:3" x14ac:dyDescent="0.25">
      <c r="A19" t="s">
        <v>255</v>
      </c>
      <c r="B19" t="s">
        <v>257</v>
      </c>
      <c r="C19">
        <v>1</v>
      </c>
    </row>
    <row r="20" spans="1:3" x14ac:dyDescent="0.25">
      <c r="A20" t="s">
        <v>284</v>
      </c>
      <c r="B20" t="s">
        <v>232</v>
      </c>
      <c r="C20">
        <v>1</v>
      </c>
    </row>
    <row r="21" spans="1:3" x14ac:dyDescent="0.25">
      <c r="A21" t="s">
        <v>258</v>
      </c>
      <c r="B21" t="s">
        <v>228</v>
      </c>
      <c r="C21">
        <v>1</v>
      </c>
    </row>
    <row r="22" spans="1:3" x14ac:dyDescent="0.25">
      <c r="A22" t="s">
        <v>288</v>
      </c>
      <c r="B22" t="s">
        <v>231</v>
      </c>
      <c r="C22">
        <v>1</v>
      </c>
    </row>
    <row r="23" spans="1:3" x14ac:dyDescent="0.25">
      <c r="A23" t="s">
        <v>270</v>
      </c>
      <c r="B23" t="s">
        <v>229</v>
      </c>
      <c r="C23">
        <v>1</v>
      </c>
    </row>
    <row r="24" spans="1:3" x14ac:dyDescent="0.25">
      <c r="A24" t="s">
        <v>292</v>
      </c>
      <c r="B24" t="s">
        <v>231</v>
      </c>
      <c r="C24">
        <v>1</v>
      </c>
    </row>
    <row r="25" spans="1:3" x14ac:dyDescent="0.25">
      <c r="A25" t="s">
        <v>272</v>
      </c>
      <c r="B25" t="s">
        <v>227</v>
      </c>
      <c r="C25">
        <v>1</v>
      </c>
    </row>
    <row r="26" spans="1:3" x14ac:dyDescent="0.25">
      <c r="A26" t="s">
        <v>296</v>
      </c>
      <c r="B26" t="s">
        <v>227</v>
      </c>
      <c r="C26">
        <v>1</v>
      </c>
    </row>
    <row r="27" spans="1:3" x14ac:dyDescent="0.25">
      <c r="A27" t="s">
        <v>273</v>
      </c>
      <c r="B27" t="s">
        <v>233</v>
      </c>
      <c r="C27">
        <v>1</v>
      </c>
    </row>
    <row r="28" spans="1:3" x14ac:dyDescent="0.25">
      <c r="A28" t="s">
        <v>266</v>
      </c>
      <c r="B28" t="s">
        <v>229</v>
      </c>
      <c r="C28">
        <v>1</v>
      </c>
    </row>
    <row r="29" spans="1:3" x14ac:dyDescent="0.25">
      <c r="A29" t="s">
        <v>274</v>
      </c>
      <c r="B29" t="s">
        <v>233</v>
      </c>
      <c r="C29">
        <v>1</v>
      </c>
    </row>
    <row r="30" spans="1:3" x14ac:dyDescent="0.25">
      <c r="A30" t="s">
        <v>260</v>
      </c>
      <c r="B30" t="s">
        <v>231</v>
      </c>
      <c r="C30">
        <v>1</v>
      </c>
    </row>
    <row r="31" spans="1:3" x14ac:dyDescent="0.25">
      <c r="A31" t="s">
        <v>275</v>
      </c>
      <c r="B31" t="s">
        <v>251</v>
      </c>
      <c r="C31">
        <v>1</v>
      </c>
    </row>
    <row r="32" spans="1:3" x14ac:dyDescent="0.25">
      <c r="A32" t="s">
        <v>287</v>
      </c>
      <c r="B32" t="s">
        <v>231</v>
      </c>
      <c r="C32">
        <v>1</v>
      </c>
    </row>
    <row r="33" spans="1:3" x14ac:dyDescent="0.25">
      <c r="A33" t="s">
        <v>276</v>
      </c>
      <c r="B33" t="s">
        <v>231</v>
      </c>
      <c r="C33">
        <v>1</v>
      </c>
    </row>
    <row r="34" spans="1:3" x14ac:dyDescent="0.25">
      <c r="A34" t="s">
        <v>289</v>
      </c>
      <c r="B34" t="s">
        <v>231</v>
      </c>
      <c r="C34">
        <v>1</v>
      </c>
    </row>
    <row r="35" spans="1:3" x14ac:dyDescent="0.25">
      <c r="A35" t="s">
        <v>301</v>
      </c>
      <c r="B35" t="s">
        <v>230</v>
      </c>
      <c r="C35">
        <v>1</v>
      </c>
    </row>
    <row r="36" spans="1:3" x14ac:dyDescent="0.25">
      <c r="A36" t="s">
        <v>291</v>
      </c>
      <c r="B36" t="s">
        <v>231</v>
      </c>
      <c r="C36">
        <v>1</v>
      </c>
    </row>
    <row r="37" spans="1:3" x14ac:dyDescent="0.25">
      <c r="A37" t="s">
        <v>263</v>
      </c>
      <c r="B37" t="s">
        <v>227</v>
      </c>
      <c r="C37">
        <v>1</v>
      </c>
    </row>
    <row r="38" spans="1:3" x14ac:dyDescent="0.25">
      <c r="A38" t="s">
        <v>293</v>
      </c>
      <c r="B38" t="s">
        <v>229</v>
      </c>
      <c r="C38">
        <v>1</v>
      </c>
    </row>
    <row r="39" spans="1:3" x14ac:dyDescent="0.25">
      <c r="A39" t="s">
        <v>279</v>
      </c>
      <c r="B39" t="s">
        <v>230</v>
      </c>
      <c r="C39">
        <v>1</v>
      </c>
    </row>
    <row r="40" spans="1:3" x14ac:dyDescent="0.25">
      <c r="A40" t="s">
        <v>295</v>
      </c>
      <c r="B40" t="s">
        <v>227</v>
      </c>
      <c r="C40">
        <v>1</v>
      </c>
    </row>
    <row r="41" spans="1:3" x14ac:dyDescent="0.25">
      <c r="A41" t="s">
        <v>280</v>
      </c>
      <c r="B41" t="s">
        <v>230</v>
      </c>
      <c r="C41">
        <v>1</v>
      </c>
    </row>
    <row r="42" spans="1:3" x14ac:dyDescent="0.25">
      <c r="A42" t="s">
        <v>297</v>
      </c>
      <c r="B42" t="s">
        <v>227</v>
      </c>
      <c r="C42">
        <v>1</v>
      </c>
    </row>
    <row r="43" spans="1:3" x14ac:dyDescent="0.25">
      <c r="A43" t="s">
        <v>281</v>
      </c>
      <c r="B43" t="s">
        <v>230</v>
      </c>
      <c r="C43">
        <v>1</v>
      </c>
    </row>
    <row r="44" spans="1:3" x14ac:dyDescent="0.25">
      <c r="A44" t="s">
        <v>300</v>
      </c>
      <c r="B44" t="s">
        <v>230</v>
      </c>
      <c r="C44">
        <v>1</v>
      </c>
    </row>
    <row r="45" spans="1:3" x14ac:dyDescent="0.25">
      <c r="A45" t="s">
        <v>282</v>
      </c>
      <c r="B45" t="s">
        <v>230</v>
      </c>
      <c r="C45">
        <v>1</v>
      </c>
    </row>
    <row r="46" spans="1:3" x14ac:dyDescent="0.25">
      <c r="A46" t="s">
        <v>259</v>
      </c>
      <c r="B46" t="s">
        <v>231</v>
      </c>
      <c r="C46">
        <v>1</v>
      </c>
    </row>
    <row r="47" spans="1:3" x14ac:dyDescent="0.25">
      <c r="A47" t="s">
        <v>277</v>
      </c>
      <c r="B47" t="s">
        <v>231</v>
      </c>
      <c r="C47">
        <v>1</v>
      </c>
    </row>
    <row r="48" spans="1:3" x14ac:dyDescent="0.25">
      <c r="A48" t="s">
        <v>132</v>
      </c>
      <c r="C48">
        <v>68</v>
      </c>
    </row>
  </sheetData>
  <pageMargins left="0.511811024" right="0.511811024" top="0.78740157499999996" bottom="0.78740157499999996" header="0.31496062000000002" footer="0.31496062000000002"/>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12B0-CE59-4A6A-9FF5-6B0029E47024}">
  <dimension ref="A1:C27"/>
  <sheetViews>
    <sheetView workbookViewId="0"/>
  </sheetViews>
  <sheetFormatPr defaultRowHeight="15" x14ac:dyDescent="0.25"/>
  <cols>
    <col min="1" max="1" width="71.85546875" customWidth="1"/>
    <col min="2" max="2" width="7.28515625" customWidth="1"/>
  </cols>
  <sheetData>
    <row r="1" spans="1:3" x14ac:dyDescent="0.25">
      <c r="A1" s="6" t="s">
        <v>3</v>
      </c>
      <c r="B1" t="s">
        <v>7</v>
      </c>
    </row>
    <row r="3" spans="1:3" x14ac:dyDescent="0.25">
      <c r="A3" s="6" t="s">
        <v>131</v>
      </c>
      <c r="B3" s="6" t="s">
        <v>4</v>
      </c>
      <c r="C3" t="s">
        <v>220</v>
      </c>
    </row>
    <row r="4" spans="1:3" x14ac:dyDescent="0.25">
      <c r="A4" s="9" t="s">
        <v>65</v>
      </c>
      <c r="B4" s="9">
        <v>2012</v>
      </c>
      <c r="C4" s="8">
        <v>602</v>
      </c>
    </row>
    <row r="5" spans="1:3" x14ac:dyDescent="0.25">
      <c r="A5" s="9" t="s">
        <v>85</v>
      </c>
      <c r="B5" s="9">
        <v>2013</v>
      </c>
      <c r="C5" s="8">
        <v>122</v>
      </c>
    </row>
    <row r="6" spans="1:3" x14ac:dyDescent="0.25">
      <c r="A6" s="9" t="s">
        <v>33</v>
      </c>
      <c r="B6" s="9">
        <v>2009</v>
      </c>
      <c r="C6" s="8">
        <v>51</v>
      </c>
    </row>
    <row r="7" spans="1:3" x14ac:dyDescent="0.25">
      <c r="A7" s="9" t="s">
        <v>6</v>
      </c>
      <c r="B7" s="9">
        <v>2014</v>
      </c>
      <c r="C7" s="8">
        <v>50</v>
      </c>
    </row>
    <row r="8" spans="1:3" x14ac:dyDescent="0.25">
      <c r="A8" s="9" t="s">
        <v>99</v>
      </c>
      <c r="B8" s="9">
        <v>2013</v>
      </c>
      <c r="C8" s="8">
        <v>40</v>
      </c>
    </row>
    <row r="9" spans="1:3" x14ac:dyDescent="0.25">
      <c r="A9" s="9" t="s">
        <v>20</v>
      </c>
      <c r="B9" s="9">
        <v>2019</v>
      </c>
      <c r="C9" s="8">
        <v>40</v>
      </c>
    </row>
    <row r="10" spans="1:3" x14ac:dyDescent="0.25">
      <c r="A10" s="9" t="s">
        <v>58</v>
      </c>
      <c r="B10" s="9">
        <v>2015</v>
      </c>
      <c r="C10" s="8">
        <v>26</v>
      </c>
    </row>
    <row r="11" spans="1:3" x14ac:dyDescent="0.25">
      <c r="A11" s="9" t="s">
        <v>13</v>
      </c>
      <c r="B11" s="9">
        <v>2019</v>
      </c>
      <c r="C11" s="8">
        <v>20</v>
      </c>
    </row>
    <row r="12" spans="1:3" x14ac:dyDescent="0.25">
      <c r="A12" s="9" t="s">
        <v>55</v>
      </c>
      <c r="B12" s="9">
        <v>2017</v>
      </c>
      <c r="C12" s="8">
        <v>16</v>
      </c>
    </row>
    <row r="13" spans="1:3" x14ac:dyDescent="0.25">
      <c r="A13" s="9" t="s">
        <v>42</v>
      </c>
      <c r="B13" s="9">
        <v>2021</v>
      </c>
      <c r="C13" s="8">
        <v>14</v>
      </c>
    </row>
    <row r="14" spans="1:3" x14ac:dyDescent="0.25">
      <c r="A14" s="7" t="s">
        <v>68</v>
      </c>
      <c r="B14" s="7">
        <v>2021</v>
      </c>
      <c r="C14">
        <v>13</v>
      </c>
    </row>
    <row r="15" spans="1:3" x14ac:dyDescent="0.25">
      <c r="A15" s="7" t="s">
        <v>73</v>
      </c>
      <c r="B15" s="7">
        <v>2022</v>
      </c>
      <c r="C15">
        <v>12</v>
      </c>
    </row>
    <row r="16" spans="1:3" x14ac:dyDescent="0.25">
      <c r="A16" s="7" t="s">
        <v>91</v>
      </c>
      <c r="B16" s="7">
        <v>2019</v>
      </c>
      <c r="C16">
        <v>12</v>
      </c>
    </row>
    <row r="17" spans="1:3" x14ac:dyDescent="0.25">
      <c r="A17" s="7" t="s">
        <v>62</v>
      </c>
      <c r="B17" s="7">
        <v>2014</v>
      </c>
      <c r="C17">
        <v>10</v>
      </c>
    </row>
    <row r="18" spans="1:3" x14ac:dyDescent="0.25">
      <c r="A18" s="7" t="s">
        <v>70</v>
      </c>
      <c r="B18" s="7">
        <v>2011</v>
      </c>
      <c r="C18">
        <v>6</v>
      </c>
    </row>
    <row r="19" spans="1:3" x14ac:dyDescent="0.25">
      <c r="A19" s="7" t="s">
        <v>82</v>
      </c>
      <c r="B19" s="7">
        <v>2009</v>
      </c>
      <c r="C19">
        <v>5</v>
      </c>
    </row>
    <row r="20" spans="1:3" x14ac:dyDescent="0.25">
      <c r="A20" s="7" t="s">
        <v>18</v>
      </c>
      <c r="B20" s="7">
        <v>2023</v>
      </c>
      <c r="C20">
        <v>4</v>
      </c>
    </row>
    <row r="21" spans="1:3" x14ac:dyDescent="0.25">
      <c r="A21" s="7" t="s">
        <v>22</v>
      </c>
      <c r="B21" s="7">
        <v>2018</v>
      </c>
      <c r="C21">
        <v>4</v>
      </c>
    </row>
    <row r="22" spans="1:3" x14ac:dyDescent="0.25">
      <c r="A22" s="7" t="s">
        <v>164</v>
      </c>
      <c r="B22" s="7">
        <v>2013</v>
      </c>
      <c r="C22">
        <v>4</v>
      </c>
    </row>
    <row r="23" spans="1:3" x14ac:dyDescent="0.25">
      <c r="A23" s="7" t="s">
        <v>16</v>
      </c>
      <c r="B23" s="7">
        <v>2014</v>
      </c>
      <c r="C23">
        <v>3</v>
      </c>
    </row>
    <row r="24" spans="1:3" x14ac:dyDescent="0.25">
      <c r="A24" s="7" t="s">
        <v>97</v>
      </c>
      <c r="B24" s="7">
        <v>2020</v>
      </c>
      <c r="C24">
        <v>1</v>
      </c>
    </row>
    <row r="25" spans="1:3" x14ac:dyDescent="0.25">
      <c r="A25" s="7" t="s">
        <v>25</v>
      </c>
      <c r="B25" s="7">
        <v>2023</v>
      </c>
      <c r="C25">
        <v>1</v>
      </c>
    </row>
    <row r="26" spans="1:3" x14ac:dyDescent="0.25">
      <c r="A26" s="7" t="s">
        <v>53</v>
      </c>
      <c r="B26" s="7">
        <v>2024</v>
      </c>
      <c r="C26">
        <v>0</v>
      </c>
    </row>
    <row r="27" spans="1:3" x14ac:dyDescent="0.25">
      <c r="A27" s="7" t="s">
        <v>132</v>
      </c>
      <c r="C27">
        <v>1056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Base Artigos</vt:lpstr>
      <vt:lpstr>Exclusão de duplicados</vt:lpstr>
      <vt:lpstr>Siglas</vt:lpstr>
      <vt:lpstr>Publicações por ano</vt:lpstr>
      <vt:lpstr>Publicações país pesquisadores</vt:lpstr>
      <vt:lpstr>Publicações país aplicação</vt:lpstr>
      <vt:lpstr>Análise</vt:lpstr>
      <vt:lpstr>Publicações Autor</vt:lpstr>
      <vt:lpstr>Qtde Citações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ANDERSON CLENER GRECO</cp:lastModifiedBy>
  <cp:lastPrinted>2024-12-15T23:04:09Z</cp:lastPrinted>
  <dcterms:created xsi:type="dcterms:W3CDTF">2024-08-11T23:29:28Z</dcterms:created>
  <dcterms:modified xsi:type="dcterms:W3CDTF">2025-12-15T21:15:50Z</dcterms:modified>
</cp:coreProperties>
</file>